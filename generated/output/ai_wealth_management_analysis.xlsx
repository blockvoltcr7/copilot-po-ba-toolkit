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Competitive Landscape" sheetId="2" state="visible" r:id="rId2"/>
    <sheet xmlns:r="http://schemas.openxmlformats.org/officeDocument/2006/relationships" name="Regulatory Risk Matrix" sheetId="3" state="visible" r:id="rId3"/>
    <sheet xmlns:r="http://schemas.openxmlformats.org/officeDocument/2006/relationships" name="Investment Business Case" sheetId="4" state="visible" r:id="rId4"/>
    <sheet xmlns:r="http://schemas.openxmlformats.org/officeDocument/2006/relationships" name="Implementation Timeline" sheetId="5" state="visible" r:id="rId5"/>
  </sheets>
  <definedNames>
    <definedName name="discount_rate">'Investment Business Case'!$B$3</definedName>
    <definedName name="growth_rate">'Investment Business Case'!$D$3</definedName>
    <definedName name="headcount_cost">'Investment Business Case'!$F$3</definedName>
    <definedName name="_xlnm.Print_Titles" localSheetId="0">'Executive Dashboard'!$1:$2</definedName>
    <definedName name="_xlnm._FilterDatabase" localSheetId="1" hidden="1">'Competitive Landscape'!$A$1:$H$16</definedName>
    <definedName name="_xlnm.Print_Titles" localSheetId="1">'Competitive Landscape'!$1:$2</definedName>
    <definedName name="_xlnm.Print_Titles" localSheetId="2">'Regulatory Risk Matrix'!$1:$2</definedName>
    <definedName name="_xlnm.Print_Titles" localSheetId="3">'Investment Business Case'!$1:$2</definedName>
    <definedName name="_xlnm.Print_Titles" localSheetId="4">'Implementation Timeline'!$1:$2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$#,##0"/>
    <numFmt numFmtId="165" formatCode="0.0"/>
    <numFmt numFmtId="166" formatCode="MM/DD/YYYY"/>
    <numFmt numFmtId="167" formatCode="0.0%"/>
    <numFmt numFmtId="168" formatCode="$#,##0;[Red]($#,##0);&quot;-&quot;"/>
    <numFmt numFmtId="169" formatCode="$#,##0;[Red]($#,##0)"/>
    <numFmt numFmtId="170" formatCode="yyyy-mm-dd"/>
    <numFmt numFmtId="171" formatCode="$#,##0&quot;M&quot;"/>
    <numFmt numFmtId="172" formatCode="+0.0%;-0.0%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0B2545"/>
      <sz val="14"/>
    </font>
    <font>
      <name val="Arial"/>
      <b val="1"/>
      <color rgb="00FFFFFF"/>
      <sz val="10"/>
    </font>
    <font>
      <name val="Georgia"/>
      <b val="1"/>
      <color rgb="000B2545"/>
      <sz val="18"/>
    </font>
    <font>
      <name val="Georgia"/>
      <b val="1"/>
      <color rgb="000B2545"/>
      <sz val="14"/>
    </font>
    <font>
      <name val="Arial"/>
      <b val="1"/>
      <color rgb="000B2545"/>
      <sz val="10"/>
    </font>
    <font>
      <name val="Arial"/>
      <color rgb="00666666"/>
      <sz val="9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0B2545"/>
      <sz val="11"/>
    </font>
    <font>
      <name val="Arial"/>
      <b val="1"/>
      <color rgb="00000000"/>
      <sz val="11"/>
    </font>
    <font>
      <name val="Arial"/>
      <b val="1"/>
      <sz val="11"/>
    </font>
    <font>
      <name val="Georgia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0B2545"/>
      <sz val="12"/>
    </font>
    <font>
      <name val="Arial"/>
      <color rgb="0064748B"/>
      <sz val="9"/>
    </font>
    <font>
      <name val="Georgia"/>
      <b val="1"/>
      <color rgb="000B2545"/>
      <sz val="20"/>
    </font>
  </fonts>
  <fills count="10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EBF5FB"/>
      </patternFill>
    </fill>
    <fill>
      <patternFill patternType="solid">
        <fgColor rgb="00CB4335"/>
      </patternFill>
    </fill>
    <fill>
      <patternFill patternType="solid">
        <fgColor rgb="00B7950B"/>
      </patternFill>
    </fill>
    <fill>
      <patternFill patternType="solid">
        <fgColor rgb="0013678A"/>
      </patternFill>
    </fill>
    <fill>
      <patternFill patternType="solid">
        <fgColor rgb="001E8449"/>
      </patternFill>
    </fill>
    <fill>
      <patternFill patternType="solid">
        <fgColor rgb="00134074"/>
      </patternFill>
    </fill>
    <fill>
      <patternFill patternType="solid">
        <fgColor rgb="00F8F9F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double">
        <color rgb="000B2545"/>
      </top>
      <bottom style="double">
        <color rgb="000B2545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7" fillId="2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9" fillId="0" borderId="0" pivotButton="0" quotePrefix="0" xfId="0"/>
    <xf numFmtId="0" fontId="20" fillId="9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167" fontId="21" fillId="0" borderId="1" applyAlignment="1" pivotButton="0" quotePrefix="0" xfId="0">
      <alignment horizontal="center" vertical="center" wrapText="1"/>
    </xf>
    <xf numFmtId="171" fontId="21" fillId="0" borderId="1" applyAlignment="1" pivotButton="0" quotePrefix="0" xfId="0">
      <alignment horizontal="center" vertical="center" wrapText="1"/>
    </xf>
    <xf numFmtId="172" fontId="2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0" fontId="3" fillId="0" borderId="2" pivotButton="0" quotePrefix="0" xfId="0"/>
    <xf numFmtId="3" fontId="3" fillId="0" borderId="2" pivotButton="0" quotePrefix="0" xfId="0"/>
    <xf numFmtId="165" fontId="3" fillId="0" borderId="2" pivotButton="0" quotePrefix="0" xfId="0"/>
    <xf numFmtId="164" fontId="3" fillId="0" borderId="2" pivotButton="0" quotePrefix="0" xfId="0"/>
    <xf numFmtId="3" fontId="0" fillId="0" borderId="2" pivotButton="0" quotePrefix="0" xfId="0"/>
    <xf numFmtId="165" fontId="0" fillId="0" borderId="2" pivotButton="0" quotePrefix="0" xfId="0"/>
    <xf numFmtId="164" fontId="0" fillId="0" borderId="2" pivotButton="0" quotePrefix="0" xfId="0"/>
    <xf numFmtId="0" fontId="0" fillId="0" borderId="2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66" fontId="2" fillId="0" borderId="1" applyAlignment="1" pivotButton="0" quotePrefix="0" xfId="0">
      <alignment vertical="center" wrapText="1"/>
    </xf>
    <xf numFmtId="166" fontId="2" fillId="3" borderId="1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7" fontId="10" fillId="0" borderId="0" pivotButton="0" quotePrefix="0" xfId="0"/>
    <xf numFmtId="164" fontId="10" fillId="0" borderId="0" pivotButton="0" quotePrefix="0" xfId="0"/>
    <xf numFmtId="0" fontId="14" fillId="0" borderId="0" pivotButton="0" quotePrefix="0" xfId="0"/>
    <xf numFmtId="164" fontId="15" fillId="0" borderId="2" pivotButton="0" quotePrefix="0" xfId="0"/>
    <xf numFmtId="168" fontId="13" fillId="0" borderId="0" pivotButton="0" quotePrefix="0" xfId="0"/>
    <xf numFmtId="164" fontId="16" fillId="0" borderId="2" pivotButton="0" quotePrefix="0" xfId="0"/>
    <xf numFmtId="169" fontId="16" fillId="0" borderId="0" pivotButton="0" quotePrefix="0" xfId="0"/>
    <xf numFmtId="167" fontId="16" fillId="0" borderId="0" pivotButton="0" quotePrefix="0" xfId="0"/>
    <xf numFmtId="0" fontId="16" fillId="0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4">
    <dxf>
      <font>
        <b val="1"/>
        <color rgb="00CB4335"/>
      </font>
      <fill>
        <patternFill patternType="solid">
          <fgColor rgb="00FADBD8"/>
        </patternFill>
      </fill>
    </dxf>
    <dxf>
      <font>
        <b val="1"/>
        <color rgb="00B7950B"/>
      </font>
      <fill>
        <patternFill patternType="solid">
          <fgColor rgb="00FEF9E7"/>
        </patternFill>
      </fill>
    </dxf>
    <dxf>
      <font>
        <b val="1"/>
        <color rgb="001E8449"/>
      </font>
      <fill>
        <patternFill patternType="solid">
          <fgColor rgb="00D5F5E3"/>
        </patternFill>
      </fill>
    </dxf>
    <dxf>
      <font>
        <b val="1"/>
        <color rgb="0013678A"/>
      </font>
      <fill>
        <patternFill patternType="solid">
          <fgColor rgb="00D6EAF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AI Spend by Firm ($M)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'Competitive Landscape'!D1</f>
            </strRef>
          </tx>
          <spPr>
            <a:solidFill xmlns:a="http://schemas.openxmlformats.org/drawingml/2006/main">
              <a:srgbClr val="3498DB"/>
            </a:solidFill>
            <a:ln xmlns:a="http://schemas.openxmlformats.org/drawingml/2006/main">
              <a:prstDash val="solid"/>
            </a:ln>
          </spPr>
          <cat>
            <numRef>
              <f>'Competitive Landscape'!$A$2:$A$9</f>
            </numRef>
          </cat>
          <val>
            <numRef>
              <f>'Competitive Landscape'!$D$2:$D$9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AI Spend ($M)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 Use Case Distribution (% of Spend)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Dashboard'!F24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74C3C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39C12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cat>
            <numRef>
              <f>'Executive Dashboard'!$E$25:$E$28</f>
            </numRef>
          </cat>
          <val>
            <numRef>
              <f>'Executive Dashboard'!$F$25:$F$28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AI Investment Budget ($K)</a:t>
            </a:r>
          </a:p>
        </rich>
      </tx>
    </title>
    <plotArea>
      <lineChart>
        <grouping val="standard"/>
        <ser>
          <idx val="0"/>
          <order val="0"/>
          <tx>
            <strRef>
              <f>'Implementation Timeline'!B20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'Implementation Timeline'!$A$21:$A$35</f>
            </numRef>
          </cat>
          <val>
            <numRef>
              <f>'Implementation Timeline'!$B$21:$B$35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Initiative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Spend ($K)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792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7</row>
      <rowOff>0</rowOff>
    </from>
    <ext cx="576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36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</sheetPr>
  <dimension ref="A1:H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  <col width="16" customWidth="1" min="8" max="8"/>
  </cols>
  <sheetData>
    <row r="1" ht="45" customHeight="1">
      <c r="A1" s="1" t="inlineStr">
        <is>
          <t>AI in Wealth Management — Executive Dashboard</t>
        </is>
      </c>
    </row>
    <row r="2" ht="25" customHeight="1">
      <c r="A2" s="2" t="inlineStr">
        <is>
          <t>Prepared: March 2026  |  Confidential — AI Strategy Division</t>
        </is>
      </c>
    </row>
    <row r="3">
      <c r="A3" s="3" t="inlineStr">
        <is>
          <t>KEY PERFORMANCE INDICATORS</t>
        </is>
      </c>
    </row>
    <row r="4" ht="20" customHeight="1">
      <c r="A4" s="4" t="inlineStr">
        <is>
          <t>Total AI Market Size</t>
        </is>
      </c>
      <c r="B4" s="4" t="inlineStr">
        <is>
          <t>AI Adoption Rate</t>
        </is>
      </c>
      <c r="C4" s="4" t="inlineStr">
        <is>
          <t>Avg AI Spend/Firm</t>
        </is>
      </c>
      <c r="D4" s="4" t="inlineStr">
        <is>
          <t>Regulatory Risk Score</t>
        </is>
      </c>
      <c r="E4" s="4" t="inlineStr">
        <is>
          <t>Projected 3-Year ROI</t>
        </is>
      </c>
      <c r="F4" s="4" t="inlineStr">
        <is>
          <t>Client Satisfaction Δ</t>
        </is>
      </c>
    </row>
    <row r="5" ht="45" customHeight="1">
      <c r="A5" s="5">
        <f>"$3.7B"</f>
        <v/>
      </c>
      <c r="B5" s="6">
        <f>80/100</f>
        <v/>
      </c>
      <c r="C5" s="7">
        <f>AVERAGE('Competitive Landscape'!D2:D16)</f>
        <v/>
      </c>
      <c r="D5" s="5">
        <f>COUNTIF('Regulatory Risk Matrix'!D5:D16,"Critical")&amp;"/"&amp;COUNTA('Regulatory Risk Matrix'!D5:D16)</f>
        <v/>
      </c>
      <c r="E5" s="6">
        <f>'Investment Business Case'!F23</f>
        <v/>
      </c>
      <c r="F5" s="8">
        <f>0.12</f>
        <v/>
      </c>
    </row>
    <row r="7">
      <c r="A7" s="3" t="inlineStr">
        <is>
          <t>AI Investment by Firm (Top 8, $M)</t>
        </is>
      </c>
      <c r="E7" s="3" t="inlineStr">
        <is>
          <t>AI Use Case Distribution</t>
        </is>
      </c>
    </row>
    <row r="24">
      <c r="E24" t="inlineStr">
        <is>
          <t>Use Case</t>
        </is>
      </c>
      <c r="F24" t="inlineStr">
        <is>
          <t>% of AI Spend</t>
        </is>
      </c>
    </row>
    <row r="25">
      <c r="E25" t="inlineStr">
        <is>
          <t>Advisory &amp; Planning</t>
        </is>
      </c>
      <c r="F25" t="n">
        <v>35</v>
      </c>
    </row>
    <row r="26">
      <c r="E26" t="inlineStr">
        <is>
          <t>Compliance &amp; Risk</t>
        </is>
      </c>
      <c r="F26" t="n">
        <v>18</v>
      </c>
    </row>
    <row r="27">
      <c r="E27" t="inlineStr">
        <is>
          <t>Operations</t>
        </is>
      </c>
      <c r="F27" t="n">
        <v>15</v>
      </c>
    </row>
    <row r="28">
      <c r="E28" t="inlineStr">
        <is>
          <t>Client Service</t>
        </is>
      </c>
      <c r="F28" t="n">
        <v>32</v>
      </c>
    </row>
  </sheetData>
  <mergeCells count="2">
    <mergeCell ref="A2:H2"/>
    <mergeCell ref="A1:H1"/>
  </mergeCells>
  <pageMargins left="0.5" right="0.5" top="0.5" bottom="0.5" header="0.3" footer="0.3"/>
  <pageSetup orientation="landscape" fitToHeight="0" fitToWidth="1"/>
  <headerFooter>
    <oddHeader/>
    <oddFooter>&amp;CConfidential — AI Strategy Division&amp;RPage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8" customWidth="1" min="4" max="4"/>
    <col width="45" customWidth="1" min="5" max="5"/>
    <col width="16" customWidth="1" min="6" max="6"/>
    <col width="15" customWidth="1" min="7" max="7"/>
    <col width="14" customWidth="1" min="8" max="8"/>
  </cols>
  <sheetData>
    <row r="1">
      <c r="A1" s="9" t="inlineStr">
        <is>
          <t>Firm Name</t>
        </is>
      </c>
      <c r="B1" s="9" t="inlineStr">
        <is>
          <t>AUM ($B)</t>
        </is>
      </c>
      <c r="C1" s="9" t="inlineStr">
        <is>
          <t>AI Maturity (1-5)</t>
        </is>
      </c>
      <c r="D1" s="9" t="inlineStr">
        <is>
          <t>Annual AI Spend ($M)</t>
        </is>
      </c>
      <c r="E1" s="9" t="inlineStr">
        <is>
          <t>Key AI Initiatives</t>
        </is>
      </c>
      <c r="F1" s="9" t="inlineStr">
        <is>
          <t>Client-Facing AI</t>
        </is>
      </c>
      <c r="G1" s="9" t="inlineStr">
        <is>
          <t>Robo-Advisory</t>
        </is>
      </c>
      <c r="H1" s="9" t="inlineStr">
        <is>
          <t>AI Headcount</t>
        </is>
      </c>
    </row>
    <row r="2">
      <c r="A2" s="10" t="inlineStr">
        <is>
          <t>Morgan Stanley</t>
        </is>
      </c>
      <c r="B2" s="11" t="n">
        <v>4600</v>
      </c>
      <c r="C2" s="10" t="n">
        <v>4.5</v>
      </c>
      <c r="D2" s="12" t="n">
        <v>1200</v>
      </c>
      <c r="E2" s="10" t="inlineStr">
        <is>
          <t>AI @ Morgan Stanley (GPT-4), Next Best Action, Debrief AI</t>
        </is>
      </c>
      <c r="F2" s="10" t="inlineStr">
        <is>
          <t>Yes</t>
        </is>
      </c>
      <c r="G2" s="10" t="inlineStr">
        <is>
          <t>Yes</t>
        </is>
      </c>
      <c r="H2" s="11" t="n">
        <v>1500</v>
      </c>
    </row>
    <row r="3">
      <c r="A3" s="13" t="inlineStr">
        <is>
          <t>Bank of America</t>
        </is>
      </c>
      <c r="B3" s="14" t="n">
        <v>3500</v>
      </c>
      <c r="C3" s="13" t="n">
        <v>4.3</v>
      </c>
      <c r="D3" s="15" t="n">
        <v>1100</v>
      </c>
      <c r="E3" s="13" t="inlineStr">
        <is>
          <t>Erica Virtual Assistant (2B+ interactions), CashPro AI</t>
        </is>
      </c>
      <c r="F3" s="13" t="inlineStr">
        <is>
          <t>Yes</t>
        </is>
      </c>
      <c r="G3" s="13" t="inlineStr">
        <is>
          <t>Yes</t>
        </is>
      </c>
      <c r="H3" s="14" t="n">
        <v>1200</v>
      </c>
    </row>
    <row r="4">
      <c r="A4" s="10" t="inlineStr">
        <is>
          <t>Charles Schwab</t>
        </is>
      </c>
      <c r="B4" s="11" t="n">
        <v>8500</v>
      </c>
      <c r="C4" s="10" t="n">
        <v>3.8</v>
      </c>
      <c r="D4" s="12" t="n">
        <v>650</v>
      </c>
      <c r="E4" s="10" t="inlineStr">
        <is>
          <t>Schwab Intelligent Portfolios, Schwab Assistant AI</t>
        </is>
      </c>
      <c r="F4" s="10" t="inlineStr">
        <is>
          <t>Yes</t>
        </is>
      </c>
      <c r="G4" s="10" t="inlineStr">
        <is>
          <t>Yes</t>
        </is>
      </c>
      <c r="H4" s="11" t="n">
        <v>800</v>
      </c>
    </row>
    <row r="5">
      <c r="A5" s="13" t="inlineStr">
        <is>
          <t>Fidelity Investments</t>
        </is>
      </c>
      <c r="B5" s="14" t="n">
        <v>4500</v>
      </c>
      <c r="C5" s="13" t="n">
        <v>4</v>
      </c>
      <c r="D5" s="15" t="n">
        <v>900</v>
      </c>
      <c r="E5" s="13" t="inlineStr">
        <is>
          <t>Fidelity AMP, Fidelity Go, Signal AI Research</t>
        </is>
      </c>
      <c r="F5" s="13" t="inlineStr">
        <is>
          <t>Yes</t>
        </is>
      </c>
      <c r="G5" s="13" t="inlineStr">
        <is>
          <t>Yes</t>
        </is>
      </c>
      <c r="H5" s="14" t="n">
        <v>1000</v>
      </c>
    </row>
    <row r="6">
      <c r="A6" s="10" t="inlineStr">
        <is>
          <t>Vanguard</t>
        </is>
      </c>
      <c r="B6" s="11" t="n">
        <v>8600</v>
      </c>
      <c r="C6" s="10" t="n">
        <v>3.5</v>
      </c>
      <c r="D6" s="12" t="n">
        <v>550</v>
      </c>
      <c r="E6" s="10" t="inlineStr">
        <is>
          <t>Vanguard Digital Advisor ($365B AUM), PAS AI</t>
        </is>
      </c>
      <c r="F6" s="10" t="inlineStr">
        <is>
          <t>Yes</t>
        </is>
      </c>
      <c r="G6" s="10" t="inlineStr">
        <is>
          <t>Yes</t>
        </is>
      </c>
      <c r="H6" s="11" t="n">
        <v>600</v>
      </c>
    </row>
    <row r="7">
      <c r="A7" s="13" t="inlineStr">
        <is>
          <t>JP Morgan</t>
        </is>
      </c>
      <c r="B7" s="14" t="n">
        <v>3900</v>
      </c>
      <c r="C7" s="13" t="n">
        <v>5</v>
      </c>
      <c r="D7" s="15" t="n">
        <v>1800</v>
      </c>
      <c r="E7" s="13" t="inlineStr">
        <is>
          <t>IndexGPT, LLM Suite (60K employees), COiN, Jade AI</t>
        </is>
      </c>
      <c r="F7" s="13" t="inlineStr">
        <is>
          <t>Yes</t>
        </is>
      </c>
      <c r="G7" s="13" t="inlineStr">
        <is>
          <t>Yes</t>
        </is>
      </c>
      <c r="H7" s="14" t="n">
        <v>2000</v>
      </c>
    </row>
    <row r="8">
      <c r="A8" s="10" t="inlineStr">
        <is>
          <t>Goldman Sachs</t>
        </is>
      </c>
      <c r="B8" s="11" t="n">
        <v>2800</v>
      </c>
      <c r="C8" s="10" t="n">
        <v>4.2</v>
      </c>
      <c r="D8" s="12" t="n">
        <v>950</v>
      </c>
      <c r="E8" s="10" t="inlineStr">
        <is>
          <t>GS AI Platform, Marcus AI, Transaction Banking AI</t>
        </is>
      </c>
      <c r="F8" s="10" t="inlineStr">
        <is>
          <t>Yes</t>
        </is>
      </c>
      <c r="G8" s="10" t="inlineStr">
        <is>
          <t>No</t>
        </is>
      </c>
      <c r="H8" s="11" t="n">
        <v>1100</v>
      </c>
    </row>
    <row r="9">
      <c r="A9" s="13" t="inlineStr">
        <is>
          <t>UBS</t>
        </is>
      </c>
      <c r="B9" s="14" t="n">
        <v>4000</v>
      </c>
      <c r="C9" s="13" t="n">
        <v>4</v>
      </c>
      <c r="D9" s="15" t="n">
        <v>800</v>
      </c>
      <c r="E9" s="13" t="inlineStr">
        <is>
          <t>UBS Companion (Red AI), My Way advisory AI</t>
        </is>
      </c>
      <c r="F9" s="13" t="inlineStr">
        <is>
          <t>Yes</t>
        </is>
      </c>
      <c r="G9" s="13" t="inlineStr">
        <is>
          <t>Yes</t>
        </is>
      </c>
      <c r="H9" s="14" t="n">
        <v>900</v>
      </c>
    </row>
    <row r="10">
      <c r="A10" s="10" t="inlineStr">
        <is>
          <t>Wells Fargo</t>
        </is>
      </c>
      <c r="B10" s="11" t="n">
        <v>2100</v>
      </c>
      <c r="C10" s="10" t="n">
        <v>3.5</v>
      </c>
      <c r="D10" s="12" t="n">
        <v>600</v>
      </c>
      <c r="E10" s="10" t="inlineStr">
        <is>
          <t>Fargo AI Virtual Assistant, Predictive Banking AI</t>
        </is>
      </c>
      <c r="F10" s="10" t="inlineStr">
        <is>
          <t>Yes</t>
        </is>
      </c>
      <c r="G10" s="10" t="inlineStr">
        <is>
          <t>No</t>
        </is>
      </c>
      <c r="H10" s="11" t="n">
        <v>700</v>
      </c>
    </row>
    <row r="11">
      <c r="A11" s="13" t="inlineStr">
        <is>
          <t>Raymond James</t>
        </is>
      </c>
      <c r="B11" s="14" t="n">
        <v>1300</v>
      </c>
      <c r="C11" s="13" t="n">
        <v>2.8</v>
      </c>
      <c r="D11" s="15" t="n">
        <v>180</v>
      </c>
      <c r="E11" s="13" t="inlineStr">
        <is>
          <t>Client Insights AI, Portfolio Analytics ML</t>
        </is>
      </c>
      <c r="F11" s="13" t="inlineStr">
        <is>
          <t>Yes</t>
        </is>
      </c>
      <c r="G11" s="13" t="inlineStr">
        <is>
          <t>No</t>
        </is>
      </c>
      <c r="H11" s="14" t="n">
        <v>200</v>
      </c>
    </row>
    <row r="12">
      <c r="A12" s="10" t="inlineStr">
        <is>
          <t>Edward Jones</t>
        </is>
      </c>
      <c r="B12" s="11" t="n">
        <v>1900</v>
      </c>
      <c r="C12" s="10" t="n">
        <v>2.5</v>
      </c>
      <c r="D12" s="12" t="n">
        <v>150</v>
      </c>
      <c r="E12" s="10" t="inlineStr">
        <is>
          <t>Advisor AI Assistant, Client Match ML</t>
        </is>
      </c>
      <c r="F12" s="10" t="inlineStr">
        <is>
          <t>No</t>
        </is>
      </c>
      <c r="G12" s="10" t="inlineStr">
        <is>
          <t>No</t>
        </is>
      </c>
      <c r="H12" s="11" t="n">
        <v>150</v>
      </c>
    </row>
    <row r="13">
      <c r="A13" s="13" t="inlineStr">
        <is>
          <t>LPL Financial</t>
        </is>
      </c>
      <c r="B13" s="14" t="n">
        <v>1400</v>
      </c>
      <c r="C13" s="13" t="n">
        <v>3</v>
      </c>
      <c r="D13" s="15" t="n">
        <v>250</v>
      </c>
      <c r="E13" s="13" t="inlineStr">
        <is>
          <t>ClientWorks AI, Compliance AI Monitoring</t>
        </is>
      </c>
      <c r="F13" s="13" t="inlineStr">
        <is>
          <t>Yes</t>
        </is>
      </c>
      <c r="G13" s="13" t="inlineStr">
        <is>
          <t>No</t>
        </is>
      </c>
      <c r="H13" s="14" t="n">
        <v>300</v>
      </c>
    </row>
    <row r="14">
      <c r="A14" s="10" t="inlineStr">
        <is>
          <t>Wealthfront</t>
        </is>
      </c>
      <c r="B14" s="11" t="n">
        <v>50</v>
      </c>
      <c r="C14" s="10" t="n">
        <v>4.5</v>
      </c>
      <c r="D14" s="12" t="n">
        <v>80</v>
      </c>
      <c r="E14" s="10" t="inlineStr">
        <is>
          <t>Automated Tax-Loss Harvesting, Risk Parity AI, Path Planner</t>
        </is>
      </c>
      <c r="F14" s="10" t="inlineStr">
        <is>
          <t>Yes</t>
        </is>
      </c>
      <c r="G14" s="10" t="inlineStr">
        <is>
          <t>Yes</t>
        </is>
      </c>
      <c r="H14" s="11" t="n">
        <v>120</v>
      </c>
    </row>
    <row r="15">
      <c r="A15" s="13" t="inlineStr">
        <is>
          <t>Betterment</t>
        </is>
      </c>
      <c r="B15" s="14" t="n">
        <v>40</v>
      </c>
      <c r="C15" s="13" t="n">
        <v>4.3</v>
      </c>
      <c r="D15" s="15" t="n">
        <v>65</v>
      </c>
      <c r="E15" s="13" t="inlineStr">
        <is>
          <t>Tax-Coordinated Portfolio, RetireGuide AI, Smart Rebalancing</t>
        </is>
      </c>
      <c r="F15" s="13" t="inlineStr">
        <is>
          <t>Yes</t>
        </is>
      </c>
      <c r="G15" s="13" t="inlineStr">
        <is>
          <t>Yes</t>
        </is>
      </c>
      <c r="H15" s="14" t="n">
        <v>100</v>
      </c>
    </row>
    <row r="16">
      <c r="A16" s="10" t="inlineStr">
        <is>
          <t>Robinhood</t>
        </is>
      </c>
      <c r="B16" s="11" t="n">
        <v>130</v>
      </c>
      <c r="C16" s="10" t="n">
        <v>3.8</v>
      </c>
      <c r="D16" s="12" t="n">
        <v>200</v>
      </c>
      <c r="E16" s="10" t="inlineStr">
        <is>
          <t>Cortex AI Recommendations, 24/7 AI Support, Robinhood Strategies</t>
        </is>
      </c>
      <c r="F16" s="10" t="inlineStr">
        <is>
          <t>Yes</t>
        </is>
      </c>
      <c r="G16" s="10" t="inlineStr">
        <is>
          <t>Yes</t>
        </is>
      </c>
      <c r="H16" s="11" t="n">
        <v>350</v>
      </c>
    </row>
    <row r="17">
      <c r="A17" s="16" t="inlineStr">
        <is>
          <t>SUMMARY (AVG / MAX / MIN)</t>
        </is>
      </c>
      <c r="B17" s="17">
        <f>AVERAGE(B2:B16)</f>
        <v/>
      </c>
      <c r="C17" s="18">
        <f>AVERAGE(C2:C16)</f>
        <v/>
      </c>
      <c r="D17" s="19">
        <f>SUM(D2:D16)</f>
        <v/>
      </c>
      <c r="E17" s="16" t="n"/>
      <c r="F17" s="16" t="n"/>
      <c r="G17" s="16" t="n"/>
      <c r="H17" s="17">
        <f>SUM(H2:H16)</f>
        <v/>
      </c>
    </row>
    <row r="18">
      <c r="A18" s="16" t="inlineStr">
        <is>
          <t>MAX</t>
        </is>
      </c>
      <c r="B18" s="20">
        <f>MAX(B2:B16)</f>
        <v/>
      </c>
      <c r="C18" s="21">
        <f>MAX(C2:C16)</f>
        <v/>
      </c>
      <c r="D18" s="22">
        <f>MAX(D2:D16)</f>
        <v/>
      </c>
      <c r="E18" s="23" t="n"/>
      <c r="F18" s="23" t="n"/>
      <c r="G18" s="23" t="n"/>
      <c r="H18" s="20">
        <f>MAX(H2:H16)</f>
        <v/>
      </c>
    </row>
    <row r="19">
      <c r="A19" s="16" t="inlineStr">
        <is>
          <t>MIN</t>
        </is>
      </c>
      <c r="B19" s="20">
        <f>MIN(B2:B16)</f>
        <v/>
      </c>
      <c r="C19" s="21">
        <f>MIN(C2:C16)</f>
        <v/>
      </c>
      <c r="D19" s="22">
        <f>MIN(D2:D16)</f>
        <v/>
      </c>
      <c r="E19" s="23" t="n"/>
      <c r="F19" s="23" t="n"/>
      <c r="G19" s="23" t="n"/>
      <c r="H19" s="20">
        <f>MIN(H2:H16)</f>
        <v/>
      </c>
    </row>
  </sheetData>
  <autoFilter ref="A1:H16"/>
  <conditionalFormatting sqref="D2:D16">
    <cfRule type="dataBar" priority="1">
      <dataBar>
        <cfvo type="min"/>
        <cfvo type="max"/>
        <color rgb="003498DB"/>
      </dataBar>
    </cfRule>
  </conditionalFormatting>
  <conditionalFormatting sqref="C2:C16">
    <cfRule type="colorScale" priority="2">
      <colorScale>
        <cfvo type="min"/>
        <cfvo type="percentile" val="50"/>
        <cfvo type="max"/>
        <color rgb="00F1948A"/>
        <color rgb="00F9E79F"/>
        <color rgb="0082E0AA"/>
      </colorScale>
    </cfRule>
  </conditionalFormatting>
  <dataValidations count="1">
    <dataValidation sqref="F2:F16 G2:G16" showDropDown="0" showInputMessage="0" showErrorMessage="0" allowBlank="1" errorTitle="Invalid Entry" error="Please select Yes or No" type="list">
      <formula1>"Yes,No"</formula1>
    </dataValidation>
  </dataValidations>
  <pageMargins left="0.5" right="0.5" top="0.5" bottom="0.5" header="0.3" footer="0.3"/>
  <pageSetup orientation="landscape" fitToHeight="0" fitToWidth="1"/>
  <headerFooter>
    <oddHeader/>
    <oddFooter>&amp;CConfidential — AI Strategy Division&amp;RPage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2" customWidth="1" min="4" max="4"/>
    <col width="18" customWidth="1" min="5" max="5"/>
    <col width="16" customWidth="1" min="6" max="6"/>
    <col width="38" customWidth="1" min="7" max="7"/>
    <col width="14" customWidth="1" min="8" max="8"/>
    <col width="16" customWidth="1" min="9" max="9"/>
  </cols>
  <sheetData>
    <row r="1">
      <c r="A1" s="24" t="inlineStr">
        <is>
          <t>Risk Summary</t>
        </is>
      </c>
      <c r="C1" s="25" t="inlineStr">
        <is>
          <t>Critical</t>
        </is>
      </c>
      <c r="D1" s="26" t="inlineStr">
        <is>
          <t>High</t>
        </is>
      </c>
      <c r="E1" s="27" t="inlineStr">
        <is>
          <t>Medium</t>
        </is>
      </c>
      <c r="F1" s="28" t="inlineStr">
        <is>
          <t>Low</t>
        </is>
      </c>
    </row>
    <row r="2">
      <c r="C2" s="29">
        <f>COUNTIF(D5:D50,"Critical")</f>
        <v/>
      </c>
      <c r="D2" s="29">
        <f>COUNTIF(D5:D50,"High")</f>
        <v/>
      </c>
      <c r="E2" s="29">
        <f>COUNTIF(D5:D50,"Medium")</f>
        <v/>
      </c>
      <c r="F2" s="29">
        <f>COUNTIF(D5:D50,"Low")</f>
        <v/>
      </c>
    </row>
    <row r="4">
      <c r="A4" s="9" t="inlineStr">
        <is>
          <t>Regulation / Guidance</t>
        </is>
      </c>
      <c r="B4" s="9" t="inlineStr">
        <is>
          <t>Issuing Body</t>
        </is>
      </c>
      <c r="C4" s="9" t="inlineStr">
        <is>
          <t>Effective Date</t>
        </is>
      </c>
      <c r="D4" s="9" t="inlineStr">
        <is>
          <t>Risk Level</t>
        </is>
      </c>
      <c r="E4" s="9" t="inlineStr">
        <is>
          <t>Impact Area</t>
        </is>
      </c>
      <c r="F4" s="9" t="inlineStr">
        <is>
          <t>Compliance Status</t>
        </is>
      </c>
      <c r="G4" s="9" t="inlineStr">
        <is>
          <t>Action Required</t>
        </is>
      </c>
      <c r="H4" s="9" t="inlineStr">
        <is>
          <t>Deadline</t>
        </is>
      </c>
      <c r="I4" s="9" t="inlineStr">
        <is>
          <t>Owner</t>
        </is>
      </c>
    </row>
    <row r="5">
      <c r="A5" s="13" t="inlineStr">
        <is>
          <t>SEC Proposed PDA/AI Conflicts Rule (Reg. 23-3)</t>
        </is>
      </c>
      <c r="B5" s="13" t="inlineStr">
        <is>
          <t>SEC</t>
        </is>
      </c>
      <c r="C5" s="30" t="inlineStr">
        <is>
          <t>2025-06-15</t>
        </is>
      </c>
      <c r="D5" s="13" t="inlineStr">
        <is>
          <t>Critical</t>
        </is>
      </c>
      <c r="E5" s="13" t="inlineStr">
        <is>
          <t>Model Risk / Conflicts</t>
        </is>
      </c>
      <c r="F5" s="13" t="inlineStr">
        <is>
          <t>In Progress</t>
        </is>
      </c>
      <c r="G5" s="13" t="inlineStr">
        <is>
          <t>Implement conflict-of-interest elimination for AI/PDA in advisory</t>
        </is>
      </c>
      <c r="H5" s="30" t="inlineStr">
        <is>
          <t>2025-09-30</t>
        </is>
      </c>
      <c r="I5" s="13" t="inlineStr">
        <is>
          <t>Chief Compliance Officer</t>
        </is>
      </c>
    </row>
    <row r="6">
      <c r="A6" s="10" t="inlineStr">
        <is>
          <t>SR 11-7 Model Risk Management</t>
        </is>
      </c>
      <c r="B6" s="10" t="inlineStr">
        <is>
          <t>Federal Reserve</t>
        </is>
      </c>
      <c r="C6" s="31" t="inlineStr">
        <is>
          <t>2011-04-04</t>
        </is>
      </c>
      <c r="D6" s="10" t="inlineStr">
        <is>
          <t>Critical</t>
        </is>
      </c>
      <c r="E6" s="10" t="inlineStr">
        <is>
          <t>Model Risk</t>
        </is>
      </c>
      <c r="F6" s="10" t="inlineStr">
        <is>
          <t>In Progress</t>
        </is>
      </c>
      <c r="G6" s="10" t="inlineStr">
        <is>
          <t>Full MRM framework for all AI/ML models: validation, documentation, monitoring</t>
        </is>
      </c>
      <c r="H6" s="31" t="inlineStr">
        <is>
          <t>2025-06-30</t>
        </is>
      </c>
      <c r="I6" s="10" t="inlineStr">
        <is>
          <t>Model Risk Mgmt</t>
        </is>
      </c>
    </row>
    <row r="7">
      <c r="A7" s="13" t="inlineStr">
        <is>
          <t>FINRA Report on AI (RN 24-09)</t>
        </is>
      </c>
      <c r="B7" s="13" t="inlineStr">
        <is>
          <t>FINRA</t>
        </is>
      </c>
      <c r="C7" s="30" t="inlineStr">
        <is>
          <t>2024-12-01</t>
        </is>
      </c>
      <c r="D7" s="13" t="inlineStr">
        <is>
          <t>High</t>
        </is>
      </c>
      <c r="E7" s="13" t="inlineStr">
        <is>
          <t>Supervisory / Suitability</t>
        </is>
      </c>
      <c r="F7" s="13" t="inlineStr">
        <is>
          <t>In Progress</t>
        </is>
      </c>
      <c r="G7" s="13" t="inlineStr">
        <is>
          <t>Supervisory procedures for AI-driven recommendations, Reg BI alignment</t>
        </is>
      </c>
      <c r="H7" s="30" t="inlineStr">
        <is>
          <t>2025-12-31</t>
        </is>
      </c>
      <c r="I7" s="13" t="inlineStr">
        <is>
          <t>Compliance Director</t>
        </is>
      </c>
    </row>
    <row r="8">
      <c r="A8" s="10" t="inlineStr">
        <is>
          <t>SEC Marketing Rule — AI-Washing</t>
        </is>
      </c>
      <c r="B8" s="10" t="inlineStr">
        <is>
          <t>SEC</t>
        </is>
      </c>
      <c r="C8" s="31" t="inlineStr">
        <is>
          <t>2022-11-04</t>
        </is>
      </c>
      <c r="D8" s="10" t="inlineStr">
        <is>
          <t>High</t>
        </is>
      </c>
      <c r="E8" s="10" t="inlineStr">
        <is>
          <t>Disclosure</t>
        </is>
      </c>
      <c r="F8" s="10" t="inlineStr">
        <is>
          <t>In Progress</t>
        </is>
      </c>
      <c r="G8" s="10" t="inlineStr">
        <is>
          <t>Review all AI marketing claims for substantiation; remove misleading AI references</t>
        </is>
      </c>
      <c r="H8" s="31" t="inlineStr">
        <is>
          <t>2025-06-30</t>
        </is>
      </c>
      <c r="I8" s="10" t="inlineStr">
        <is>
          <t>Marketing/Legal</t>
        </is>
      </c>
    </row>
    <row r="9">
      <c r="A9" s="13" t="inlineStr">
        <is>
          <t>OCC Third-Party Risk Mgmt (2023-17)</t>
        </is>
      </c>
      <c r="B9" s="13" t="inlineStr">
        <is>
          <t>OCC</t>
        </is>
      </c>
      <c r="C9" s="30" t="inlineStr">
        <is>
          <t>2023-06-06</t>
        </is>
      </c>
      <c r="D9" s="13" t="inlineStr">
        <is>
          <t>High</t>
        </is>
      </c>
      <c r="E9" s="13" t="inlineStr">
        <is>
          <t>Vendor Risk</t>
        </is>
      </c>
      <c r="F9" s="13" t="inlineStr">
        <is>
          <t>In Progress</t>
        </is>
      </c>
      <c r="G9" s="13" t="inlineStr">
        <is>
          <t>Due diligence on AI vendors, concentration risk assessment, exit strategies</t>
        </is>
      </c>
      <c r="H9" s="30" t="inlineStr">
        <is>
          <t>2025-09-30</t>
        </is>
      </c>
      <c r="I9" s="13" t="inlineStr">
        <is>
          <t>Vendor Mgmt</t>
        </is>
      </c>
    </row>
    <row r="10">
      <c r="A10" s="10" t="inlineStr">
        <is>
          <t>CFPB Circular 2022-03 (Adverse Action AI)</t>
        </is>
      </c>
      <c r="B10" s="10" t="inlineStr">
        <is>
          <t>CFPB</t>
        </is>
      </c>
      <c r="C10" s="31" t="inlineStr">
        <is>
          <t>2022-05-26</t>
        </is>
      </c>
      <c r="D10" s="10" t="inlineStr">
        <is>
          <t>Critical</t>
        </is>
      </c>
      <c r="E10" s="10" t="inlineStr">
        <is>
          <t>Fair Lending / Consumer</t>
        </is>
      </c>
      <c r="F10" s="10" t="inlineStr">
        <is>
          <t>Gap</t>
        </is>
      </c>
      <c r="G10" s="10" t="inlineStr">
        <is>
          <t>Ensure AI credit decisions provide specific adverse action reasons, not generic</t>
        </is>
      </c>
      <c r="H10" s="31" t="inlineStr">
        <is>
          <t>2025-06-30</t>
        </is>
      </c>
      <c r="I10" s="10" t="inlineStr">
        <is>
          <t>Fair Lending Officer</t>
        </is>
      </c>
    </row>
    <row r="11">
      <c r="A11" s="13" t="inlineStr">
        <is>
          <t>ECOA / Reg B Fair Lending (AI Bias)</t>
        </is>
      </c>
      <c r="B11" s="13" t="inlineStr">
        <is>
          <t>CFPB / DOJ</t>
        </is>
      </c>
      <c r="C11" s="30" t="inlineStr">
        <is>
          <t>1974-10-28</t>
        </is>
      </c>
      <c r="D11" s="13" t="inlineStr">
        <is>
          <t>Critical</t>
        </is>
      </c>
      <c r="E11" s="13" t="inlineStr">
        <is>
          <t>Fair Lending</t>
        </is>
      </c>
      <c r="F11" s="13" t="inlineStr">
        <is>
          <t>In Progress</t>
        </is>
      </c>
      <c r="G11" s="13" t="inlineStr">
        <is>
          <t>Disparate impact testing for all AI models, bias audits, alternative data review</t>
        </is>
      </c>
      <c r="H11" s="30" t="inlineStr">
        <is>
          <t>2025-09-30</t>
        </is>
      </c>
      <c r="I11" s="13" t="inlineStr">
        <is>
          <t>Fair Lending Officer</t>
        </is>
      </c>
    </row>
    <row r="12">
      <c r="A12" s="10" t="inlineStr">
        <is>
          <t>GLBA (Gramm-Leach-Bliley Act)</t>
        </is>
      </c>
      <c r="B12" s="10" t="inlineStr">
        <is>
          <t>FTC / Regulators</t>
        </is>
      </c>
      <c r="C12" s="31" t="inlineStr">
        <is>
          <t>1999-11-12</t>
        </is>
      </c>
      <c r="D12" s="10" t="inlineStr">
        <is>
          <t>High</t>
        </is>
      </c>
      <c r="E12" s="10" t="inlineStr">
        <is>
          <t>Data Privacy</t>
        </is>
      </c>
      <c r="F12" s="10" t="inlineStr">
        <is>
          <t>Compliant</t>
        </is>
      </c>
      <c r="G12" s="10" t="inlineStr">
        <is>
          <t>Privacy notices for AI data usage, opt-out rights, safeguard AI training data</t>
        </is>
      </c>
      <c r="H12" s="10" t="inlineStr">
        <is>
          <t>Ongoing</t>
        </is>
      </c>
      <c r="I12" s="10" t="inlineStr">
        <is>
          <t>Privacy Officer</t>
        </is>
      </c>
    </row>
    <row r="13">
      <c r="A13" s="13" t="inlineStr">
        <is>
          <t>CCPA / CPRA (California)</t>
        </is>
      </c>
      <c r="B13" s="13" t="inlineStr">
        <is>
          <t>CA Attorney General</t>
        </is>
      </c>
      <c r="C13" s="30" t="inlineStr">
        <is>
          <t>2023-01-01</t>
        </is>
      </c>
      <c r="D13" s="13" t="inlineStr">
        <is>
          <t>High</t>
        </is>
      </c>
      <c r="E13" s="13" t="inlineStr">
        <is>
          <t>Data Privacy</t>
        </is>
      </c>
      <c r="F13" s="13" t="inlineStr">
        <is>
          <t>In Progress</t>
        </is>
      </c>
      <c r="G13" s="13" t="inlineStr">
        <is>
          <t>AI profiling opt-out, automated decision-making disclosure, data deletion rights</t>
        </is>
      </c>
      <c r="H13" s="30" t="inlineStr">
        <is>
          <t>2025-12-31</t>
        </is>
      </c>
      <c r="I13" s="13" t="inlineStr">
        <is>
          <t>Privacy Officer</t>
        </is>
      </c>
    </row>
    <row r="14">
      <c r="A14" s="10" t="inlineStr">
        <is>
          <t>NIST AI Risk Management Framework 1.0</t>
        </is>
      </c>
      <c r="B14" s="10" t="inlineStr">
        <is>
          <t>NIST</t>
        </is>
      </c>
      <c r="C14" s="31" t="inlineStr">
        <is>
          <t>2023-01-26</t>
        </is>
      </c>
      <c r="D14" s="10" t="inlineStr">
        <is>
          <t>Medium</t>
        </is>
      </c>
      <c r="E14" s="10" t="inlineStr">
        <is>
          <t>Governance</t>
        </is>
      </c>
      <c r="F14" s="10" t="inlineStr">
        <is>
          <t>In Progress</t>
        </is>
      </c>
      <c r="G14" s="10" t="inlineStr">
        <is>
          <t>Map AI systems to NIST AI RMF categories; implement Govern/Map/Measure/Manage</t>
        </is>
      </c>
      <c r="H14" s="31" t="inlineStr">
        <is>
          <t>2026-06-30</t>
        </is>
      </c>
      <c r="I14" s="10" t="inlineStr">
        <is>
          <t>AI Governance Lead</t>
        </is>
      </c>
    </row>
    <row r="15">
      <c r="A15" s="13" t="inlineStr">
        <is>
          <t>EU AI Act (Extraterritorial)</t>
        </is>
      </c>
      <c r="B15" s="13" t="inlineStr">
        <is>
          <t>European Commission</t>
        </is>
      </c>
      <c r="C15" s="30" t="inlineStr">
        <is>
          <t>2025-08-02</t>
        </is>
      </c>
      <c r="D15" s="13" t="inlineStr">
        <is>
          <t>Medium</t>
        </is>
      </c>
      <c r="E15" s="13" t="inlineStr">
        <is>
          <t>Governance / Classification</t>
        </is>
      </c>
      <c r="F15" s="13" t="inlineStr">
        <is>
          <t>Gap</t>
        </is>
      </c>
      <c r="G15" s="13" t="inlineStr">
        <is>
          <t>Classify AI systems by risk tier; high-risk financial AI needs conformity assessment</t>
        </is>
      </c>
      <c r="H15" s="30" t="inlineStr">
        <is>
          <t>2026-08-01</t>
        </is>
      </c>
      <c r="I15" s="13" t="inlineStr">
        <is>
          <t>Global Compliance</t>
        </is>
      </c>
    </row>
    <row r="16">
      <c r="A16" s="10" t="inlineStr">
        <is>
          <t>Colorado SB 24-205 (AI Consumer Protection)</t>
        </is>
      </c>
      <c r="B16" s="10" t="inlineStr">
        <is>
          <t>State of Colorado</t>
        </is>
      </c>
      <c r="C16" s="31" t="inlineStr">
        <is>
          <t>2026-02-01</t>
        </is>
      </c>
      <c r="D16" s="10" t="inlineStr">
        <is>
          <t>Medium</t>
        </is>
      </c>
      <c r="E16" s="10" t="inlineStr">
        <is>
          <t>Consumer Protection</t>
        </is>
      </c>
      <c r="F16" s="10" t="inlineStr">
        <is>
          <t>Gap</t>
        </is>
      </c>
      <c r="G16" s="10" t="inlineStr">
        <is>
          <t>Impact assessments for high-risk AI, consumer notification, algorithmic fairness</t>
        </is>
      </c>
      <c r="H16" s="31" t="inlineStr">
        <is>
          <t>2026-02-01</t>
        </is>
      </c>
      <c r="I16" s="10" t="inlineStr">
        <is>
          <t>State Compliance</t>
        </is>
      </c>
    </row>
  </sheetData>
  <mergeCells count="1">
    <mergeCell ref="A1:B1"/>
  </mergeCells>
  <conditionalFormatting sqref="D5:D54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"Low"</formula>
    </cfRule>
    <cfRule type="cellIs" priority="4" operator="equal" dxfId="3">
      <formula>"Medium"</formula>
    </cfRule>
  </conditionalFormatting>
  <dataValidations count="1">
    <dataValidation sqref="F5:F16" showDropDown="0" showInputMessage="0" showErrorMessage="0" allowBlank="1" type="list">
      <formula1>"Compliant,In Progress,Gap,Not Applicable"</formula1>
    </dataValidation>
  </dataValidations>
  <pageMargins left="0.5" right="0.5" top="0.5" bottom="0.5" header="0.3" footer="0.3"/>
  <pageSetup orientation="landscape" fitToHeight="0" fitToWidth="1"/>
  <headerFooter>
    <oddHeader/>
    <oddFooter>&amp;CConfidential — AI Strategy Division&amp;RPage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</sheetPr>
  <dimension ref="A1:F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>
      <c r="A1" s="32" t="inlineStr">
        <is>
          <t>AI Investment Business Case — FY 2026</t>
        </is>
      </c>
    </row>
    <row r="2">
      <c r="A2" s="33" t="inlineStr">
        <is>
          <t>Key Assumptions:</t>
        </is>
      </c>
    </row>
    <row r="3">
      <c r="A3" s="34" t="inlineStr">
        <is>
          <t>Discount Rate</t>
        </is>
      </c>
      <c r="B3" s="35" t="n">
        <v>0.1</v>
      </c>
      <c r="C3" s="34" t="inlineStr">
        <is>
          <t>Growth Rate</t>
        </is>
      </c>
      <c r="D3" s="35" t="n">
        <v>0.15</v>
      </c>
      <c r="E3" s="34" t="inlineStr">
        <is>
          <t>Avg Headcount Cost ($K)</t>
        </is>
      </c>
      <c r="F3" s="36" t="n">
        <v>185</v>
      </c>
    </row>
    <row r="5">
      <c r="A5" s="9" t="inlineStr">
        <is>
          <t>Investment Category</t>
        </is>
      </c>
      <c r="B5" s="9" t="inlineStr">
        <is>
          <t>Q1 2026</t>
        </is>
      </c>
      <c r="C5" s="9" t="inlineStr">
        <is>
          <t>Q2 2026</t>
        </is>
      </c>
      <c r="D5" s="9" t="inlineStr">
        <is>
          <t>Q3 2026</t>
        </is>
      </c>
      <c r="E5" s="9" t="inlineStr">
        <is>
          <t>Q4 2026</t>
        </is>
      </c>
      <c r="F5" s="9" t="inlineStr">
        <is>
          <t>FY 2026 Total</t>
        </is>
      </c>
    </row>
    <row r="6">
      <c r="A6" s="10" t="inlineStr">
        <is>
          <t>AI Platform Licensing</t>
        </is>
      </c>
      <c r="B6" s="12" t="n">
        <v>450</v>
      </c>
      <c r="C6" s="12" t="n">
        <v>450</v>
      </c>
      <c r="D6" s="12" t="n">
        <v>475</v>
      </c>
      <c r="E6" s="12" t="n">
        <v>475</v>
      </c>
      <c r="F6" s="12">
        <f>SUM(B6:E6)</f>
        <v/>
      </c>
    </row>
    <row r="7">
      <c r="A7" s="13" t="inlineStr">
        <is>
          <t>Data Infrastructure</t>
        </is>
      </c>
      <c r="B7" s="15" t="n">
        <v>380</v>
      </c>
      <c r="C7" s="15" t="n">
        <v>400</v>
      </c>
      <c r="D7" s="15" t="n">
        <v>420</v>
      </c>
      <c r="E7" s="15" t="n">
        <v>440</v>
      </c>
      <c r="F7" s="15">
        <f>SUM(B7:E7)</f>
        <v/>
      </c>
    </row>
    <row r="8">
      <c r="A8" s="10" t="inlineStr">
        <is>
          <t>ML Engineering Headcount</t>
        </is>
      </c>
      <c r="B8" s="12" t="n">
        <v>925</v>
      </c>
      <c r="C8" s="12" t="n">
        <v>960</v>
      </c>
      <c r="D8" s="12" t="n">
        <v>1000</v>
      </c>
      <c r="E8" s="12" t="n">
        <v>1050</v>
      </c>
      <c r="F8" s="12">
        <f>SUM(B8:E8)</f>
        <v/>
      </c>
    </row>
    <row r="9">
      <c r="A9" s="13" t="inlineStr">
        <is>
          <t>Training &amp; Change Management</t>
        </is>
      </c>
      <c r="B9" s="15" t="n">
        <v>120</v>
      </c>
      <c r="C9" s="15" t="n">
        <v>150</v>
      </c>
      <c r="D9" s="15" t="n">
        <v>100</v>
      </c>
      <c r="E9" s="15" t="n">
        <v>80</v>
      </c>
      <c r="F9" s="15">
        <f>SUM(B9:E9)</f>
        <v/>
      </c>
    </row>
    <row r="10">
      <c r="A10" s="10" t="inlineStr">
        <is>
          <t>Compliance &amp; Audit</t>
        </is>
      </c>
      <c r="B10" s="12" t="n">
        <v>200</v>
      </c>
      <c r="C10" s="12" t="n">
        <v>180</v>
      </c>
      <c r="D10" s="12" t="n">
        <v>190</v>
      </c>
      <c r="E10" s="12" t="n">
        <v>210</v>
      </c>
      <c r="F10" s="12">
        <f>SUM(B10:E10)</f>
        <v/>
      </c>
    </row>
    <row r="11">
      <c r="A11" s="13" t="inlineStr">
        <is>
          <t>Vendor Integration</t>
        </is>
      </c>
      <c r="B11" s="15" t="n">
        <v>160</v>
      </c>
      <c r="C11" s="15" t="n">
        <v>175</v>
      </c>
      <c r="D11" s="15" t="n">
        <v>150</v>
      </c>
      <c r="E11" s="15" t="n">
        <v>140</v>
      </c>
      <c r="F11" s="15">
        <f>SUM(B11:E11)</f>
        <v/>
      </c>
    </row>
    <row r="12">
      <c r="A12" s="37" t="inlineStr">
        <is>
          <t>TOTAL INVESTMENT ($K)</t>
        </is>
      </c>
      <c r="B12" s="38">
        <f>SUM(B6:B11)</f>
        <v/>
      </c>
      <c r="C12" s="38">
        <f>SUM(C6:C11)</f>
        <v/>
      </c>
      <c r="D12" s="38">
        <f>SUM(D6:D11)</f>
        <v/>
      </c>
      <c r="E12" s="38">
        <f>SUM(E6:E11)</f>
        <v/>
      </c>
      <c r="F12" s="38">
        <f>SUM(F6:F11)</f>
        <v/>
      </c>
    </row>
    <row r="13">
      <c r="A13" s="13" t="inlineStr">
        <is>
          <t>BUDGET ($K)</t>
        </is>
      </c>
      <c r="B13" s="15" t="n">
        <v>2300</v>
      </c>
      <c r="C13" s="15" t="n">
        <v>2400</v>
      </c>
      <c r="D13" s="15" t="n">
        <v>2400</v>
      </c>
      <c r="E13" s="15" t="n">
        <v>2500</v>
      </c>
      <c r="F13" s="15">
        <f>SUM(B13:E13)</f>
        <v/>
      </c>
    </row>
    <row r="14">
      <c r="A14" s="33" t="inlineStr">
        <is>
          <t>VARIANCE (Projected - Budget)</t>
        </is>
      </c>
      <c r="B14" s="39">
        <f>B12-B13</f>
        <v/>
      </c>
      <c r="C14" s="39">
        <f>C12-C13</f>
        <v/>
      </c>
      <c r="D14" s="39">
        <f>D12-D13</f>
        <v/>
      </c>
      <c r="E14" s="39">
        <f>E12-E13</f>
        <v/>
      </c>
      <c r="F14" s="39">
        <f>F12-F13</f>
        <v/>
      </c>
    </row>
    <row r="16">
      <c r="A16" s="37" t="inlineStr">
        <is>
          <t>PROJECTED BENEFITS ($K)</t>
        </is>
      </c>
    </row>
    <row r="17">
      <c r="A17" s="13" t="inlineStr">
        <is>
          <t>Operational Efficiency Savings</t>
        </is>
      </c>
      <c r="B17" s="15" t="n">
        <v>320</v>
      </c>
      <c r="C17" s="15" t="n">
        <v>480</v>
      </c>
      <c r="D17" s="15" t="n">
        <v>650</v>
      </c>
      <c r="E17" s="15" t="n">
        <v>820</v>
      </c>
      <c r="F17" s="15">
        <f>SUM(B17:E17)</f>
        <v/>
      </c>
    </row>
    <row r="18">
      <c r="A18" s="10" t="inlineStr">
        <is>
          <t>Revenue Uplift (AI-driven AUM growth)</t>
        </is>
      </c>
      <c r="B18" s="12" t="n">
        <v>150</v>
      </c>
      <c r="C18" s="12" t="n">
        <v>300</v>
      </c>
      <c r="D18" s="12" t="n">
        <v>500</v>
      </c>
      <c r="E18" s="12" t="n">
        <v>750</v>
      </c>
      <c r="F18" s="12">
        <f>SUM(B18:E18)</f>
        <v/>
      </c>
    </row>
    <row r="19">
      <c r="A19" s="13" t="inlineStr">
        <is>
          <t>Compliance Cost Avoidance</t>
        </is>
      </c>
      <c r="B19" s="15" t="n">
        <v>80</v>
      </c>
      <c r="C19" s="15" t="n">
        <v>100</v>
      </c>
      <c r="D19" s="15" t="n">
        <v>120</v>
      </c>
      <c r="E19" s="15" t="n">
        <v>140</v>
      </c>
      <c r="F19" s="15">
        <f>SUM(B19:E19)</f>
        <v/>
      </c>
    </row>
    <row r="20">
      <c r="A20" s="10" t="inlineStr">
        <is>
          <t>Client Retention Value</t>
        </is>
      </c>
      <c r="B20" s="12" t="n">
        <v>100</v>
      </c>
      <c r="C20" s="12" t="n">
        <v>180</v>
      </c>
      <c r="D20" s="12" t="n">
        <v>260</v>
      </c>
      <c r="E20" s="12" t="n">
        <v>350</v>
      </c>
      <c r="F20" s="12">
        <f>SUM(B20:E20)</f>
        <v/>
      </c>
    </row>
    <row r="21">
      <c r="A21" s="37" t="inlineStr">
        <is>
          <t>TOTAL BENEFITS ($K)</t>
        </is>
      </c>
      <c r="B21" s="40">
        <f>SUM(B17:B20)</f>
        <v/>
      </c>
      <c r="C21" s="40">
        <f>SUM(C17:C20)</f>
        <v/>
      </c>
      <c r="D21" s="40">
        <f>SUM(D17:D20)</f>
        <v/>
      </c>
      <c r="E21" s="40">
        <f>SUM(E17:E20)</f>
        <v/>
      </c>
      <c r="F21" s="40">
        <f>SUM(F17:F20)</f>
        <v/>
      </c>
    </row>
    <row r="22">
      <c r="A22" s="37" t="inlineStr">
        <is>
          <t>NET VALUE ($K)</t>
        </is>
      </c>
      <c r="B22" s="41">
        <f>B21-B12</f>
        <v/>
      </c>
      <c r="C22" s="41">
        <f>C21-C12</f>
        <v/>
      </c>
      <c r="D22" s="41">
        <f>D21-D12</f>
        <v/>
      </c>
      <c r="E22" s="41">
        <f>E21-E12</f>
        <v/>
      </c>
      <c r="F22" s="41">
        <f>F21-F12</f>
        <v/>
      </c>
    </row>
    <row r="23">
      <c r="A23" s="37" t="inlineStr">
        <is>
          <t>ROI %</t>
        </is>
      </c>
      <c r="B23" s="42">
        <f>IF(B12=0,0,B22/B12)</f>
        <v/>
      </c>
      <c r="C23" s="42">
        <f>IF(C12=0,0,C22/C12)</f>
        <v/>
      </c>
      <c r="D23" s="42">
        <f>IF(D12=0,0,D22/D12)</f>
        <v/>
      </c>
      <c r="E23" s="42">
        <f>IF(E12=0,0,E22/E12)</f>
        <v/>
      </c>
      <c r="F23" s="42">
        <f>IF(F12=0,0,F22/F12)</f>
        <v/>
      </c>
    </row>
  </sheetData>
  <mergeCells count="1">
    <mergeCell ref="A1:F1"/>
  </mergeCells>
  <conditionalFormatting sqref="B14:F14">
    <cfRule type="cellIs" priority="1" operator="greaterThan" dxfId="0">
      <formula>0</formula>
    </cfRule>
    <cfRule type="cellIs" priority="2" operator="lessThanOrEqual" dxfId="2">
      <formula>0</formula>
    </cfRule>
  </conditionalFormatting>
  <pageMargins left="0.5" right="0.5" top="0.5" bottom="0.5" header="0.3" footer="0.3"/>
  <pageSetup orientation="landscape" fitToHeight="0" fitToWidth="1"/>
  <headerFooter>
    <oddHeader/>
    <oddFooter>&amp;CConfidential — AI Strategy Division&amp;RPage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24" customWidth="1" min="7" max="7"/>
    <col width="18" customWidth="1" min="8" max="8"/>
    <col width="14" customWidth="1" min="9" max="9"/>
  </cols>
  <sheetData>
    <row r="1">
      <c r="A1" s="9" t="inlineStr">
        <is>
          <t>Phase</t>
        </is>
      </c>
      <c r="B1" s="9" t="inlineStr">
        <is>
          <t>Initiative</t>
        </is>
      </c>
      <c r="C1" s="9" t="inlineStr">
        <is>
          <t>Start Date</t>
        </is>
      </c>
      <c r="D1" s="9" t="inlineStr">
        <is>
          <t>End Date</t>
        </is>
      </c>
      <c r="E1" s="9" t="inlineStr">
        <is>
          <t>Duration (Days)</t>
        </is>
      </c>
      <c r="F1" s="9" t="inlineStr">
        <is>
          <t>Status</t>
        </is>
      </c>
      <c r="G1" s="9" t="inlineStr">
        <is>
          <t>Dependencies</t>
        </is>
      </c>
      <c r="H1" s="9" t="inlineStr">
        <is>
          <t>Owner</t>
        </is>
      </c>
      <c r="I1" s="9" t="inlineStr">
        <is>
          <t>Budget ($K)</t>
        </is>
      </c>
    </row>
    <row r="2">
      <c r="A2" s="10" t="inlineStr">
        <is>
          <t>Phase 1</t>
        </is>
      </c>
      <c r="B2" s="10" t="inlineStr">
        <is>
          <t>AI Governance Framework Setup</t>
        </is>
      </c>
      <c r="C2" s="31" t="n">
        <v>46113</v>
      </c>
      <c r="D2" s="31" t="n">
        <v>46173</v>
      </c>
      <c r="E2" s="11">
        <f>D2-C2</f>
        <v/>
      </c>
      <c r="F2" s="10" t="inlineStr">
        <is>
          <t>In Progress</t>
        </is>
      </c>
      <c r="G2" s="10" t="inlineStr">
        <is>
          <t>None</t>
        </is>
      </c>
      <c r="H2" s="10" t="inlineStr">
        <is>
          <t>AI Governance Lead</t>
        </is>
      </c>
      <c r="I2" s="12" t="n">
        <v>150</v>
      </c>
    </row>
    <row r="3">
      <c r="A3" s="13" t="inlineStr">
        <is>
          <t>Phase 1</t>
        </is>
      </c>
      <c r="B3" s="13" t="inlineStr">
        <is>
          <t>Data Infrastructure Assessment</t>
        </is>
      </c>
      <c r="C3" s="30" t="n">
        <v>46127</v>
      </c>
      <c r="D3" s="30" t="n">
        <v>46188</v>
      </c>
      <c r="E3" s="14">
        <f>D3-C3</f>
        <v/>
      </c>
      <c r="F3" s="13" t="inlineStr">
        <is>
          <t>In Progress</t>
        </is>
      </c>
      <c r="G3" s="13" t="inlineStr">
        <is>
          <t>None</t>
        </is>
      </c>
      <c r="H3" s="13" t="inlineStr">
        <is>
          <t>CTO Office</t>
        </is>
      </c>
      <c r="I3" s="15" t="n">
        <v>280</v>
      </c>
    </row>
    <row r="4">
      <c r="A4" s="10" t="inlineStr">
        <is>
          <t>Phase 1</t>
        </is>
      </c>
      <c r="B4" s="10" t="inlineStr">
        <is>
          <t>Vendor Selection &amp; Procurement</t>
        </is>
      </c>
      <c r="C4" s="31" t="n">
        <v>46143</v>
      </c>
      <c r="D4" s="31" t="n">
        <v>46218</v>
      </c>
      <c r="E4" s="11">
        <f>D4-C4</f>
        <v/>
      </c>
      <c r="F4" s="10" t="inlineStr">
        <is>
          <t>Not Started</t>
        </is>
      </c>
      <c r="G4" s="10" t="inlineStr">
        <is>
          <t>Governance Framework</t>
        </is>
      </c>
      <c r="H4" s="10" t="inlineStr">
        <is>
          <t>Vendor Mgmt</t>
        </is>
      </c>
      <c r="I4" s="12" t="n">
        <v>120</v>
      </c>
    </row>
    <row r="5">
      <c r="A5" s="13" t="inlineStr">
        <is>
          <t>Phase 2</t>
        </is>
      </c>
      <c r="B5" s="13" t="inlineStr">
        <is>
          <t>ML Platform Deployment</t>
        </is>
      </c>
      <c r="C5" s="30" t="n">
        <v>46203</v>
      </c>
      <c r="D5" s="30" t="n">
        <v>46293</v>
      </c>
      <c r="E5" s="14">
        <f>D5-C5</f>
        <v/>
      </c>
      <c r="F5" s="13" t="inlineStr">
        <is>
          <t>Not Started</t>
        </is>
      </c>
      <c r="G5" s="13" t="inlineStr">
        <is>
          <t>Data Infrastructure</t>
        </is>
      </c>
      <c r="H5" s="13" t="inlineStr">
        <is>
          <t>ML Engineering</t>
        </is>
      </c>
      <c r="I5" s="15" t="n">
        <v>650</v>
      </c>
    </row>
    <row r="6">
      <c r="A6" s="10" t="inlineStr">
        <is>
          <t>Phase 2</t>
        </is>
      </c>
      <c r="B6" s="10" t="inlineStr">
        <is>
          <t>Model Risk Management Implementation</t>
        </is>
      </c>
      <c r="C6" s="31" t="n">
        <v>46203</v>
      </c>
      <c r="D6" s="31" t="n">
        <v>46308</v>
      </c>
      <c r="E6" s="11">
        <f>D6-C6</f>
        <v/>
      </c>
      <c r="F6" s="10" t="inlineStr">
        <is>
          <t>Not Started</t>
        </is>
      </c>
      <c r="G6" s="10" t="inlineStr">
        <is>
          <t>Governance Framework</t>
        </is>
      </c>
      <c r="H6" s="10" t="inlineStr">
        <is>
          <t>Model Risk Mgmt</t>
        </is>
      </c>
      <c r="I6" s="12" t="n">
        <v>320</v>
      </c>
    </row>
    <row r="7">
      <c r="A7" s="13" t="inlineStr">
        <is>
          <t>Phase 2</t>
        </is>
      </c>
      <c r="B7" s="13" t="inlineStr">
        <is>
          <t>Client Sentiment Analysis MVP</t>
        </is>
      </c>
      <c r="C7" s="30" t="n">
        <v>46218</v>
      </c>
      <c r="D7" s="30" t="n">
        <v>46308</v>
      </c>
      <c r="E7" s="14">
        <f>D7-C7</f>
        <v/>
      </c>
      <c r="F7" s="13" t="inlineStr">
        <is>
          <t>Not Started</t>
        </is>
      </c>
      <c r="G7" s="13" t="inlineStr">
        <is>
          <t>ML Platform</t>
        </is>
      </c>
      <c r="H7" s="13" t="inlineStr">
        <is>
          <t>Data Science</t>
        </is>
      </c>
      <c r="I7" s="15" t="n">
        <v>180</v>
      </c>
    </row>
    <row r="8">
      <c r="A8" s="10" t="inlineStr">
        <is>
          <t>Phase 2</t>
        </is>
      </c>
      <c r="B8" s="10" t="inlineStr">
        <is>
          <t>Compliance AI Monitoring Pilot</t>
        </is>
      </c>
      <c r="C8" s="31" t="n">
        <v>46233</v>
      </c>
      <c r="D8" s="31" t="n">
        <v>46323</v>
      </c>
      <c r="E8" s="11">
        <f>D8-C8</f>
        <v/>
      </c>
      <c r="F8" s="10" t="inlineStr">
        <is>
          <t>Not Started</t>
        </is>
      </c>
      <c r="G8" s="10" t="inlineStr">
        <is>
          <t>ML Platform, MRM</t>
        </is>
      </c>
      <c r="H8" s="10" t="inlineStr">
        <is>
          <t>Compliance</t>
        </is>
      </c>
      <c r="I8" s="12" t="n">
        <v>250</v>
      </c>
    </row>
    <row r="9">
      <c r="A9" s="13" t="inlineStr">
        <is>
          <t>Phase 3</t>
        </is>
      </c>
      <c r="B9" s="13" t="inlineStr">
        <is>
          <t>AI-Assisted Portfolio Rebalancing</t>
        </is>
      </c>
      <c r="C9" s="30" t="n">
        <v>46293</v>
      </c>
      <c r="D9" s="30" t="n">
        <v>46413</v>
      </c>
      <c r="E9" s="14">
        <f>D9-C9</f>
        <v/>
      </c>
      <c r="F9" s="13" t="inlineStr">
        <is>
          <t>Not Started</t>
        </is>
      </c>
      <c r="G9" s="13" t="inlineStr">
        <is>
          <t>ML Platform, MRM</t>
        </is>
      </c>
      <c r="H9" s="13" t="inlineStr">
        <is>
          <t>Portfolio Mgmt</t>
        </is>
      </c>
      <c r="I9" s="15" t="n">
        <v>420</v>
      </c>
    </row>
    <row r="10">
      <c r="A10" s="10" t="inlineStr">
        <is>
          <t>Phase 3</t>
        </is>
      </c>
      <c r="B10" s="10" t="inlineStr">
        <is>
          <t>NLP Client Communications</t>
        </is>
      </c>
      <c r="C10" s="31" t="n">
        <v>46308</v>
      </c>
      <c r="D10" s="31" t="n">
        <v>46428</v>
      </c>
      <c r="E10" s="11">
        <f>D10-C10</f>
        <v/>
      </c>
      <c r="F10" s="10" t="inlineStr">
        <is>
          <t>Not Started</t>
        </is>
      </c>
      <c r="G10" s="10" t="inlineStr">
        <is>
          <t>Sentiment Analysis</t>
        </is>
      </c>
      <c r="H10" s="10" t="inlineStr">
        <is>
          <t>Client Services</t>
        </is>
      </c>
      <c r="I10" s="12" t="n">
        <v>290</v>
      </c>
    </row>
    <row r="11">
      <c r="A11" s="13" t="inlineStr">
        <is>
          <t>Phase 3</t>
        </is>
      </c>
      <c r="B11" s="13" t="inlineStr">
        <is>
          <t>Predictive Client Churn Model</t>
        </is>
      </c>
      <c r="C11" s="30" t="n">
        <v>46323</v>
      </c>
      <c r="D11" s="30" t="n">
        <v>46443</v>
      </c>
      <c r="E11" s="14">
        <f>D11-C11</f>
        <v/>
      </c>
      <c r="F11" s="13" t="inlineStr">
        <is>
          <t>Not Started</t>
        </is>
      </c>
      <c r="G11" s="13" t="inlineStr">
        <is>
          <t>ML Platform</t>
        </is>
      </c>
      <c r="H11" s="13" t="inlineStr">
        <is>
          <t>Data Science</t>
        </is>
      </c>
      <c r="I11" s="15" t="n">
        <v>200</v>
      </c>
    </row>
    <row r="12">
      <c r="A12" s="10" t="inlineStr">
        <is>
          <t>Phase 3</t>
        </is>
      </c>
      <c r="B12" s="10" t="inlineStr">
        <is>
          <t>Advisor AI Assistant Rollout</t>
        </is>
      </c>
      <c r="C12" s="31" t="n">
        <v>46353</v>
      </c>
      <c r="D12" s="31" t="n">
        <v>46473</v>
      </c>
      <c r="E12" s="11">
        <f>D12-C12</f>
        <v/>
      </c>
      <c r="F12" s="10" t="inlineStr">
        <is>
          <t>Not Started</t>
        </is>
      </c>
      <c r="G12" s="10" t="inlineStr">
        <is>
          <t>NLP, Portfolio AI</t>
        </is>
      </c>
      <c r="H12" s="10" t="inlineStr">
        <is>
          <t>Advisory</t>
        </is>
      </c>
      <c r="I12" s="12" t="n">
        <v>380</v>
      </c>
    </row>
    <row r="13">
      <c r="A13" s="13" t="inlineStr">
        <is>
          <t>Phase 4</t>
        </is>
      </c>
      <c r="B13" s="13" t="inlineStr">
        <is>
          <t>Robo-Advisory Enhancement</t>
        </is>
      </c>
      <c r="C13" s="30" t="n">
        <v>46413</v>
      </c>
      <c r="D13" s="30" t="n">
        <v>46533</v>
      </c>
      <c r="E13" s="14">
        <f>D13-C13</f>
        <v/>
      </c>
      <c r="F13" s="13" t="inlineStr">
        <is>
          <t>Not Started</t>
        </is>
      </c>
      <c r="G13" s="13" t="inlineStr">
        <is>
          <t>Portfolio Rebalancing</t>
        </is>
      </c>
      <c r="H13" s="13" t="inlineStr">
        <is>
          <t>Digital Advisory</t>
        </is>
      </c>
      <c r="I13" s="15" t="n">
        <v>350</v>
      </c>
    </row>
    <row r="14">
      <c r="A14" s="10" t="inlineStr">
        <is>
          <t>Phase 4</t>
        </is>
      </c>
      <c r="B14" s="10" t="inlineStr">
        <is>
          <t>Full Production AI Monitoring</t>
        </is>
      </c>
      <c r="C14" s="31" t="n">
        <v>46443</v>
      </c>
      <c r="D14" s="31" t="n">
        <v>46563</v>
      </c>
      <c r="E14" s="11">
        <f>D14-C14</f>
        <v/>
      </c>
      <c r="F14" s="10" t="inlineStr">
        <is>
          <t>Not Started</t>
        </is>
      </c>
      <c r="G14" s="10" t="inlineStr">
        <is>
          <t>All Phase 3</t>
        </is>
      </c>
      <c r="H14" s="10" t="inlineStr">
        <is>
          <t>AI Governance</t>
        </is>
      </c>
      <c r="I14" s="12" t="n">
        <v>180</v>
      </c>
    </row>
    <row r="15">
      <c r="A15" s="13" t="inlineStr">
        <is>
          <t>Phase 4</t>
        </is>
      </c>
      <c r="B15" s="13" t="inlineStr">
        <is>
          <t>Client-Facing AI Chatbot Launch</t>
        </is>
      </c>
      <c r="C15" s="30" t="n">
        <v>46473</v>
      </c>
      <c r="D15" s="30" t="n">
        <v>46593</v>
      </c>
      <c r="E15" s="14">
        <f>D15-C15</f>
        <v/>
      </c>
      <c r="F15" s="13" t="inlineStr">
        <is>
          <t>Not Started</t>
        </is>
      </c>
      <c r="G15" s="13" t="inlineStr">
        <is>
          <t>NLP, Compliance AI</t>
        </is>
      </c>
      <c r="H15" s="13" t="inlineStr">
        <is>
          <t>Digital</t>
        </is>
      </c>
      <c r="I15" s="15" t="n">
        <v>260</v>
      </c>
    </row>
    <row r="16">
      <c r="A16" s="10" t="inlineStr">
        <is>
          <t>Phase 4</t>
        </is>
      </c>
      <c r="B16" s="10" t="inlineStr">
        <is>
          <t>AI ROI Assessment &amp; Optimization</t>
        </is>
      </c>
      <c r="C16" s="31" t="n">
        <v>46563</v>
      </c>
      <c r="D16" s="31" t="n">
        <v>46653</v>
      </c>
      <c r="E16" s="11">
        <f>D16-C16</f>
        <v/>
      </c>
      <c r="F16" s="10" t="inlineStr">
        <is>
          <t>Not Started</t>
        </is>
      </c>
      <c r="G16" s="10" t="inlineStr">
        <is>
          <t>All initiatives</t>
        </is>
      </c>
      <c r="H16" s="10" t="inlineStr">
        <is>
          <t>CFO / Strategy</t>
        </is>
      </c>
      <c r="I16" s="12" t="n">
        <v>90</v>
      </c>
    </row>
    <row r="17">
      <c r="A17" s="43" t="inlineStr">
        <is>
          <t>TOTAL</t>
        </is>
      </c>
      <c r="B17" s="23" t="n"/>
      <c r="C17" s="23" t="n"/>
      <c r="D17" s="23" t="n"/>
      <c r="E17" s="23" t="n"/>
      <c r="F17" s="23" t="n"/>
      <c r="G17" s="23" t="n"/>
      <c r="H17" s="23" t="n"/>
      <c r="I17" s="40">
        <f>SUM(I2:I16)</f>
        <v/>
      </c>
    </row>
    <row r="20">
      <c r="A20" s="9" t="inlineStr">
        <is>
          <t>Initiative</t>
        </is>
      </c>
      <c r="B20" s="9" t="inlineStr">
        <is>
          <t>Cumulative Budget ($K)</t>
        </is>
      </c>
    </row>
    <row r="21">
      <c r="A21" t="inlineStr">
        <is>
          <t>AI Governance Framework Setup</t>
        </is>
      </c>
      <c r="B21" s="44">
        <f>I2</f>
        <v/>
      </c>
    </row>
    <row r="22">
      <c r="A22" t="inlineStr">
        <is>
          <t>Data Infrastructure Assessment</t>
        </is>
      </c>
      <c r="B22" s="44">
        <f>B21+I3</f>
        <v/>
      </c>
    </row>
    <row r="23">
      <c r="A23" t="inlineStr">
        <is>
          <t>Vendor Selection &amp; Procurement</t>
        </is>
      </c>
      <c r="B23" s="44">
        <f>B22+I4</f>
        <v/>
      </c>
    </row>
    <row r="24">
      <c r="A24" t="inlineStr">
        <is>
          <t>ML Platform Deployment</t>
        </is>
      </c>
      <c r="B24" s="44">
        <f>B23+I5</f>
        <v/>
      </c>
    </row>
    <row r="25">
      <c r="A25" t="inlineStr">
        <is>
          <t>Model Risk Management Implementation</t>
        </is>
      </c>
      <c r="B25" s="44">
        <f>B24+I6</f>
        <v/>
      </c>
    </row>
    <row r="26">
      <c r="A26" t="inlineStr">
        <is>
          <t>Client Sentiment Analysis MVP</t>
        </is>
      </c>
      <c r="B26" s="44">
        <f>B25+I7</f>
        <v/>
      </c>
    </row>
    <row r="27">
      <c r="A27" t="inlineStr">
        <is>
          <t>Compliance AI Monitoring Pilot</t>
        </is>
      </c>
      <c r="B27" s="44">
        <f>B26+I8</f>
        <v/>
      </c>
    </row>
    <row r="28">
      <c r="A28" t="inlineStr">
        <is>
          <t>AI-Assisted Portfolio Rebalancing</t>
        </is>
      </c>
      <c r="B28" s="44">
        <f>B27+I9</f>
        <v/>
      </c>
    </row>
    <row r="29">
      <c r="A29" t="inlineStr">
        <is>
          <t>NLP Client Communications</t>
        </is>
      </c>
      <c r="B29" s="44">
        <f>B28+I10</f>
        <v/>
      </c>
    </row>
    <row r="30">
      <c r="A30" t="inlineStr">
        <is>
          <t>Predictive Client Churn Model</t>
        </is>
      </c>
      <c r="B30" s="44">
        <f>B29+I11</f>
        <v/>
      </c>
    </row>
    <row r="31">
      <c r="A31" t="inlineStr">
        <is>
          <t>Advisor AI Assistant Rollout</t>
        </is>
      </c>
      <c r="B31" s="44">
        <f>B30+I12</f>
        <v/>
      </c>
    </row>
    <row r="32">
      <c r="A32" t="inlineStr">
        <is>
          <t>Robo-Advisory Enhancement</t>
        </is>
      </c>
      <c r="B32" s="44">
        <f>B31+I13</f>
        <v/>
      </c>
    </row>
    <row r="33">
      <c r="A33" t="inlineStr">
        <is>
          <t>Full Production AI Monitoring</t>
        </is>
      </c>
      <c r="B33" s="44">
        <f>B32+I14</f>
        <v/>
      </c>
    </row>
    <row r="34">
      <c r="A34" t="inlineStr">
        <is>
          <t>Client-Facing AI Chatbot Launch</t>
        </is>
      </c>
      <c r="B34" s="44">
        <f>B33+I15</f>
        <v/>
      </c>
    </row>
    <row r="35">
      <c r="A35" t="inlineStr">
        <is>
          <t>AI ROI Assessment &amp; Optimization</t>
        </is>
      </c>
      <c r="B35" s="44">
        <f>B34+I16</f>
        <v/>
      </c>
    </row>
  </sheetData>
  <conditionalFormatting sqref="F2:F65">
    <cfRule type="cellIs" priority="1" operator="equal" dxfId="2">
      <formula>"Complete"</formula>
    </cfRule>
    <cfRule type="cellIs" priority="2" operator="equal" dxfId="1">
      <formula>"In Progress"</formula>
    </cfRule>
    <cfRule type="cellIs" priority="3" operator="equal" dxfId="0">
      <formula>"Blocked"</formula>
    </cfRule>
  </conditionalFormatting>
  <dataValidations count="1">
    <dataValidation sqref="F2:F16" showDropDown="0" showInputMessage="0" showErrorMessage="0" allowBlank="1" type="list">
      <formula1>"Not Started,In Progress,Complete,Blocked"</formula1>
    </dataValidation>
  </dataValidations>
  <pageMargins left="0.5" right="0.5" top="0.5" bottom="0.5" header="0.3" footer="0.3"/>
  <pageSetup orientation="landscape" fitToHeight="0" fitToWidth="1"/>
  <headerFooter>
    <oddHeader/>
    <oddFooter>&amp;CConfidential — AI Strategy Division&amp;RPage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2026-03-28T13:39:27Z</dcterms:created>
  <dcterms:modified xmlns:dcterms="http://purl.org/dc/terms/" xmlns:xsi="http://www.w3.org/2001/XMLSchema-instance" xsi:type="dcterms:W3CDTF">2026-03-28T13:39:27Z</dcterms:modified>
</cp:coreProperties>
</file>