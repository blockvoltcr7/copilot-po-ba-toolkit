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 Inventory" sheetId="1" state="visible" r:id="rId1"/>
    <sheet xmlns:r="http://schemas.openxmlformats.org/officeDocument/2006/relationships" name="Summary Dashboard" sheetId="2" state="visible" r:id="rId2"/>
    <sheet xmlns:r="http://schemas.openxmlformats.org/officeDocument/2006/relationships" name="Adoption Timeline" sheetId="3" state="visible" r:id="rId3"/>
  </sheets>
  <definedNames>
    <definedName name="_xlnm._FilterDatabase" localSheetId="0" hidden="1">'Skills Inventory'!$A$1:$F$16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Georgia"/>
      <b val="1"/>
      <color rgb="0021295C"/>
      <sz val="16"/>
    </font>
    <font>
      <name val="Arial"/>
      <color rgb="0064748B"/>
      <sz val="10"/>
    </font>
    <font>
      <name val="Georgia"/>
      <b val="1"/>
      <color rgb="0021295C"/>
      <sz val="24"/>
    </font>
    <font>
      <name val="Arial"/>
      <b val="1"/>
      <color rgb="0021295C"/>
      <sz val="12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065A82"/>
      </patternFill>
    </fill>
    <fill>
      <patternFill patternType="solid">
        <fgColor rgb="00F0F4F8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double">
        <color rgb="0021295C"/>
      </top>
      <bottom style="double">
        <color rgb="0021295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9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9" fontId="2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9" fontId="5" fillId="0" borderId="1" applyAlignment="1" pivotButton="0" quotePrefix="0" xfId="0">
      <alignment horizontal="center"/>
    </xf>
    <xf numFmtId="0" fontId="6" fillId="0" borderId="0" pivotButton="0" quotePrefix="0" xfId="0"/>
    <xf numFmtId="0" fontId="7" fillId="0" borderId="2" pivotButton="0" quotePrefix="0" xfId="0"/>
    <xf numFmtId="0" fontId="0" fillId="0" borderId="2" pivotButton="0" quotePrefix="0" xfId="0"/>
  </cellXfs>
  <cellStyles count="1">
    <cellStyle name="Normal" xfId="0" builtinId="0" hidden="0"/>
  </cellStyles>
  <dxfs count="4">
    <dxf>
      <font>
        <color rgb="0016A34A"/>
      </font>
      <fill>
        <patternFill patternType="solid">
          <fgColor rgb="00DCFCE7"/>
        </patternFill>
      </fill>
    </dxf>
    <dxf>
      <font>
        <color rgb="00EAB308"/>
      </font>
      <fill>
        <patternFill patternType="solid">
          <fgColor rgb="00FEF9C3"/>
        </patternFill>
      </fill>
    </dxf>
    <dxf>
      <font>
        <b val="1"/>
        <color rgb="00DC2626"/>
      </font>
      <fill>
        <patternFill patternType="solid">
          <fgColor rgb="00FEE2E2"/>
        </patternFill>
      </fill>
    </dxf>
    <dxf>
      <font>
        <b val="1"/>
        <color rgb="00EAB308"/>
      </font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Skill Name</t>
        </is>
      </c>
      <c r="B1" s="1" t="inlineStr">
        <is>
          <t>Category</t>
        </is>
      </c>
      <c r="C1" s="1" t="inlineStr">
        <is>
          <t>Tier</t>
        </is>
      </c>
      <c r="D1" s="1" t="inlineStr">
        <is>
          <t>Language</t>
        </is>
      </c>
      <c r="E1" s="1" t="inlineStr">
        <is>
          <t>Status</t>
        </is>
      </c>
      <c r="F1" s="1" t="inlineStr">
        <is>
          <t>Adoption %</t>
        </is>
      </c>
    </row>
    <row r="2">
      <c r="A2" s="2" t="inlineStr">
        <is>
          <t>docx-generator</t>
        </is>
      </c>
      <c r="B2" s="2" t="inlineStr">
        <is>
          <t>Document Gen</t>
        </is>
      </c>
      <c r="C2" s="2" t="inlineStr">
        <is>
          <t>Day 1</t>
        </is>
      </c>
      <c r="D2" s="2" t="inlineStr">
        <is>
          <t>Node.js</t>
        </is>
      </c>
      <c r="E2" s="2" t="inlineStr">
        <is>
          <t>Active</t>
        </is>
      </c>
      <c r="F2" s="3" t="n">
        <v>0.85</v>
      </c>
    </row>
    <row r="3">
      <c r="A3" s="4" t="inlineStr">
        <is>
          <t>pptx-generator</t>
        </is>
      </c>
      <c r="B3" s="4" t="inlineStr">
        <is>
          <t>Document Gen</t>
        </is>
      </c>
      <c r="C3" s="4" t="inlineStr">
        <is>
          <t>Day 1</t>
        </is>
      </c>
      <c r="D3" s="4" t="inlineStr">
        <is>
          <t>Node.js</t>
        </is>
      </c>
      <c r="E3" s="4" t="inlineStr">
        <is>
          <t>Active</t>
        </is>
      </c>
      <c r="F3" s="5" t="n">
        <v>0.72</v>
      </c>
    </row>
    <row r="4">
      <c r="A4" s="2" t="inlineStr">
        <is>
          <t>xlsx-generator</t>
        </is>
      </c>
      <c r="B4" s="2" t="inlineStr">
        <is>
          <t>Document Gen</t>
        </is>
      </c>
      <c r="C4" s="2" t="inlineStr">
        <is>
          <t>Day 1</t>
        </is>
      </c>
      <c r="D4" s="2" t="inlineStr">
        <is>
          <t>Python</t>
        </is>
      </c>
      <c r="E4" s="2" t="inlineStr">
        <is>
          <t>Active</t>
        </is>
      </c>
      <c r="F4" s="3" t="n">
        <v>0.65</v>
      </c>
    </row>
    <row r="5">
      <c r="A5" s="4" t="inlineStr">
        <is>
          <t>frontend-design</t>
        </is>
      </c>
      <c r="B5" s="4" t="inlineStr">
        <is>
          <t>Design</t>
        </is>
      </c>
      <c r="C5" s="4" t="inlineStr">
        <is>
          <t>Week 1</t>
        </is>
      </c>
      <c r="D5" s="4" t="inlineStr">
        <is>
          <t>TypeScript</t>
        </is>
      </c>
      <c r="E5" s="4" t="inlineStr">
        <is>
          <t>Active</t>
        </is>
      </c>
      <c r="F5" s="5" t="n">
        <v>0.9</v>
      </c>
    </row>
    <row r="6">
      <c r="A6" s="2" t="inlineStr">
        <is>
          <t>shadcn</t>
        </is>
      </c>
      <c r="B6" s="2" t="inlineStr">
        <is>
          <t>Design</t>
        </is>
      </c>
      <c r="C6" s="2" t="inlineStr">
        <is>
          <t>Week 1</t>
        </is>
      </c>
      <c r="D6" s="2" t="inlineStr">
        <is>
          <t>TypeScript</t>
        </is>
      </c>
      <c r="E6" s="2" t="inlineStr">
        <is>
          <t>Active</t>
        </is>
      </c>
      <c r="F6" s="3" t="n">
        <v>0.88</v>
      </c>
    </row>
    <row r="7">
      <c r="A7" s="4" t="inlineStr">
        <is>
          <t>browse</t>
        </is>
      </c>
      <c r="B7" s="4" t="inlineStr">
        <is>
          <t>QA/Testing</t>
        </is>
      </c>
      <c r="C7" s="4" t="inlineStr">
        <is>
          <t>Week 1</t>
        </is>
      </c>
      <c r="D7" s="4" t="inlineStr">
        <is>
          <t>Node.js</t>
        </is>
      </c>
      <c r="E7" s="4" t="inlineStr">
        <is>
          <t>Active</t>
        </is>
      </c>
      <c r="F7" s="5" t="n">
        <v>0.78</v>
      </c>
    </row>
    <row r="8">
      <c r="A8" s="2" t="inlineStr">
        <is>
          <t>qa</t>
        </is>
      </c>
      <c r="B8" s="2" t="inlineStr">
        <is>
          <t>QA/Testing</t>
        </is>
      </c>
      <c r="C8" s="2" t="inlineStr">
        <is>
          <t>Week 2-3</t>
        </is>
      </c>
      <c r="D8" s="2" t="inlineStr">
        <is>
          <t>Node.js</t>
        </is>
      </c>
      <c r="E8" s="2" t="inlineStr">
        <is>
          <t>Active</t>
        </is>
      </c>
      <c r="F8" s="3" t="n">
        <v>0.6</v>
      </c>
    </row>
    <row r="9">
      <c r="A9" s="4" t="inlineStr">
        <is>
          <t>investigate</t>
        </is>
      </c>
      <c r="B9" s="4" t="inlineStr">
        <is>
          <t>Debugging</t>
        </is>
      </c>
      <c r="C9" s="4" t="inlineStr">
        <is>
          <t>Week 1</t>
        </is>
      </c>
      <c r="D9" s="4" t="inlineStr">
        <is>
          <t>Node.js</t>
        </is>
      </c>
      <c r="E9" s="4" t="inlineStr">
        <is>
          <t>Active</t>
        </is>
      </c>
      <c r="F9" s="5" t="n">
        <v>0.82</v>
      </c>
    </row>
    <row r="10">
      <c r="A10" s="2" t="inlineStr">
        <is>
          <t>ship</t>
        </is>
      </c>
      <c r="B10" s="2" t="inlineStr">
        <is>
          <t>Deployment</t>
        </is>
      </c>
      <c r="C10" s="2" t="inlineStr">
        <is>
          <t>Week 2-3</t>
        </is>
      </c>
      <c r="D10" s="2" t="inlineStr">
        <is>
          <t>Bash</t>
        </is>
      </c>
      <c r="E10" s="2" t="inlineStr">
        <is>
          <t>Active</t>
        </is>
      </c>
      <c r="F10" s="3" t="n">
        <v>0.55</v>
      </c>
    </row>
    <row r="11">
      <c r="A11" s="4" t="inlineStr">
        <is>
          <t>review</t>
        </is>
      </c>
      <c r="B11" s="4" t="inlineStr">
        <is>
          <t>Code Review</t>
        </is>
      </c>
      <c r="C11" s="4" t="inlineStr">
        <is>
          <t>Week 2-3</t>
        </is>
      </c>
      <c r="D11" s="4" t="inlineStr">
        <is>
          <t>Node.js</t>
        </is>
      </c>
      <c r="E11" s="4" t="inlineStr">
        <is>
          <t>Active</t>
        </is>
      </c>
      <c r="F11" s="5" t="n">
        <v>0.7</v>
      </c>
    </row>
    <row r="12">
      <c r="A12" s="2" t="inlineStr">
        <is>
          <t>mcp-builder</t>
        </is>
      </c>
      <c r="B12" s="2" t="inlineStr">
        <is>
          <t>Integration</t>
        </is>
      </c>
      <c r="C12" s="2" t="inlineStr">
        <is>
          <t>Week 4+</t>
        </is>
      </c>
      <c r="D12" s="2" t="inlineStr">
        <is>
          <t>TypeScript</t>
        </is>
      </c>
      <c r="E12" s="2" t="inlineStr">
        <is>
          <t>Planned</t>
        </is>
      </c>
      <c r="F12" s="3" t="n">
        <v>0.2</v>
      </c>
    </row>
    <row r="13">
      <c r="A13" s="4" t="inlineStr">
        <is>
          <t>office-hours</t>
        </is>
      </c>
      <c r="B13" s="4" t="inlineStr">
        <is>
          <t>Strategy</t>
        </is>
      </c>
      <c r="C13" s="4" t="inlineStr">
        <is>
          <t>Week 4+</t>
        </is>
      </c>
      <c r="D13" s="4" t="inlineStr">
        <is>
          <t>Node.js</t>
        </is>
      </c>
      <c r="E13" s="4" t="inlineStr">
        <is>
          <t>Planned</t>
        </is>
      </c>
      <c r="F13" s="5" t="n">
        <v>0.15</v>
      </c>
    </row>
    <row r="14">
      <c r="A14" s="2" t="inlineStr">
        <is>
          <t>retro</t>
        </is>
      </c>
      <c r="B14" s="2" t="inlineStr">
        <is>
          <t>Team</t>
        </is>
      </c>
      <c r="C14" s="2" t="inlineStr">
        <is>
          <t>Week 4+</t>
        </is>
      </c>
      <c r="D14" s="2" t="inlineStr">
        <is>
          <t>Node.js</t>
        </is>
      </c>
      <c r="E14" s="2" t="inlineStr">
        <is>
          <t>Planned</t>
        </is>
      </c>
      <c r="F14" s="3" t="n">
        <v>0.1</v>
      </c>
    </row>
    <row r="15">
      <c r="A15" s="4" t="inlineStr">
        <is>
          <t>design-review</t>
        </is>
      </c>
      <c r="B15" s="4" t="inlineStr">
        <is>
          <t>Design</t>
        </is>
      </c>
      <c r="C15" s="4" t="inlineStr">
        <is>
          <t>Week 2-3</t>
        </is>
      </c>
      <c r="D15" s="4" t="inlineStr">
        <is>
          <t>Node.js</t>
        </is>
      </c>
      <c r="E15" s="4" t="inlineStr">
        <is>
          <t>Active</t>
        </is>
      </c>
      <c r="F15" s="5" t="n">
        <v>0.68</v>
      </c>
    </row>
    <row r="16">
      <c r="A16" s="2" t="inlineStr">
        <is>
          <t>vitest</t>
        </is>
      </c>
      <c r="B16" s="2" t="inlineStr">
        <is>
          <t>Testing</t>
        </is>
      </c>
      <c r="C16" s="2" t="inlineStr">
        <is>
          <t>Week 1</t>
        </is>
      </c>
      <c r="D16" s="2" t="inlineStr">
        <is>
          <t>TypeScript</t>
        </is>
      </c>
      <c r="E16" s="2" t="inlineStr">
        <is>
          <t>Active</t>
        </is>
      </c>
      <c r="F16" s="3" t="n">
        <v>0.75</v>
      </c>
    </row>
  </sheetData>
  <autoFilter ref="A1:F16"/>
  <conditionalFormatting sqref="E2:E100">
    <cfRule type="cellIs" priority="1" operator="equal" dxfId="0">
      <formula>"Active"</formula>
    </cfRule>
    <cfRule type="cellIs" priority="2" operator="equal" dxfId="1">
      <formula>"Planned"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35" customHeight="1">
      <c r="A1" s="6" t="inlineStr">
        <is>
          <t>AI Skills Adoption Dashboard</t>
        </is>
      </c>
    </row>
    <row r="3">
      <c r="A3" s="7" t="inlineStr">
        <is>
          <t>Total Skills</t>
        </is>
      </c>
      <c r="B3" s="7" t="inlineStr">
        <is>
          <t>Active Skills</t>
        </is>
      </c>
      <c r="C3" s="7" t="inlineStr">
        <is>
          <t>Avg Adoption</t>
        </is>
      </c>
      <c r="D3" s="7" t="inlineStr">
        <is>
          <t>Day 1 Skills</t>
        </is>
      </c>
    </row>
    <row r="4" ht="40" customHeight="1">
      <c r="A4" s="8">
        <f>COUNTA('Skills Inventory'!A2:A100)</f>
        <v/>
      </c>
      <c r="B4" s="8">
        <f>COUNTIF('Skills Inventory'!E2:E100,"Active")</f>
        <v/>
      </c>
      <c r="C4" s="9">
        <f>AVERAGE('Skills Inventory'!F2:F16)</f>
        <v/>
      </c>
      <c r="D4" s="8">
        <f>COUNTIF('Skills Inventory'!C2:C100,"Day 1")</f>
        <v/>
      </c>
    </row>
    <row r="6">
      <c r="A6" s="10" t="inlineStr">
        <is>
          <t>Category Breakdown</t>
        </is>
      </c>
    </row>
    <row r="7">
      <c r="A7" s="1" t="inlineStr">
        <is>
          <t>Category</t>
        </is>
      </c>
      <c r="B7" s="1" t="inlineStr">
        <is>
          <t>Count</t>
        </is>
      </c>
      <c r="C7" s="1" t="inlineStr">
        <is>
          <t>Avg Adoption</t>
        </is>
      </c>
    </row>
    <row r="8">
      <c r="A8" s="2" t="inlineStr">
        <is>
          <t>Document Gen</t>
        </is>
      </c>
      <c r="B8" s="2">
        <f>COUNTIF('Skills Inventory'!B:B,A8)</f>
        <v/>
      </c>
      <c r="C8" s="3">
        <f>AVERAGEIF('Skills Inventory'!B:B,A8,'Skills Inventory'!F:F)</f>
        <v/>
      </c>
    </row>
    <row r="9">
      <c r="A9" s="4" t="inlineStr">
        <is>
          <t>Design</t>
        </is>
      </c>
      <c r="B9" s="4">
        <f>COUNTIF('Skills Inventory'!B:B,A9)</f>
        <v/>
      </c>
      <c r="C9" s="5">
        <f>AVERAGEIF('Skills Inventory'!B:B,A9,'Skills Inventory'!F:F)</f>
        <v/>
      </c>
    </row>
    <row r="10">
      <c r="A10" s="2" t="inlineStr">
        <is>
          <t>QA/Testing</t>
        </is>
      </c>
      <c r="B10" s="2">
        <f>COUNTIF('Skills Inventory'!B:B,A10)</f>
        <v/>
      </c>
      <c r="C10" s="3">
        <f>AVERAGEIF('Skills Inventory'!B:B,A10,'Skills Inventory'!F:F)</f>
        <v/>
      </c>
    </row>
    <row r="11">
      <c r="A11" s="4" t="inlineStr">
        <is>
          <t>Debugging</t>
        </is>
      </c>
      <c r="B11" s="4">
        <f>COUNTIF('Skills Inventory'!B:B,A11)</f>
        <v/>
      </c>
      <c r="C11" s="5">
        <f>AVERAGEIF('Skills Inventory'!B:B,A11,'Skills Inventory'!F:F)</f>
        <v/>
      </c>
    </row>
    <row r="12">
      <c r="A12" s="2" t="inlineStr">
        <is>
          <t>Deployment</t>
        </is>
      </c>
      <c r="B12" s="2">
        <f>COUNTIF('Skills Inventory'!B:B,A12)</f>
        <v/>
      </c>
      <c r="C12" s="3">
        <f>AVERAGEIF('Skills Inventory'!B:B,A12,'Skills Inventory'!F:F)</f>
        <v/>
      </c>
    </row>
    <row r="13">
      <c r="A13" s="4" t="inlineStr">
        <is>
          <t>Code Review</t>
        </is>
      </c>
      <c r="B13" s="4">
        <f>COUNTIF('Skills Inventory'!B:B,A13)</f>
        <v/>
      </c>
      <c r="C13" s="5">
        <f>AVERAGEIF('Skills Inventory'!B:B,A13,'Skills Inventory'!F:F)</f>
        <v/>
      </c>
    </row>
    <row r="14">
      <c r="A14" s="2" t="inlineStr">
        <is>
          <t>Integration</t>
        </is>
      </c>
      <c r="B14" s="2">
        <f>COUNTIF('Skills Inventory'!B:B,A14)</f>
        <v/>
      </c>
      <c r="C14" s="3">
        <f>AVERAGEIF('Skills Inventory'!B:B,A14,'Skills Inventory'!F:F)</f>
        <v/>
      </c>
    </row>
    <row r="15">
      <c r="A15" s="4" t="inlineStr">
        <is>
          <t>Strategy</t>
        </is>
      </c>
      <c r="B15" s="4">
        <f>COUNTIF('Skills Inventory'!B:B,A15)</f>
        <v/>
      </c>
      <c r="C15" s="5">
        <f>AVERAGEIF('Skills Inventory'!B:B,A15,'Skills Inventory'!F:F)</f>
        <v/>
      </c>
    </row>
    <row r="16">
      <c r="A16" s="2" t="inlineStr">
        <is>
          <t>Team</t>
        </is>
      </c>
      <c r="B16" s="2">
        <f>COUNTIF('Skills Inventory'!B:B,A16)</f>
        <v/>
      </c>
      <c r="C16" s="3">
        <f>AVERAGEIF('Skills Inventory'!B:B,A16,'Skills Inventory'!F:F)</f>
        <v/>
      </c>
    </row>
    <row r="17">
      <c r="A17" s="4" t="inlineStr">
        <is>
          <t>Testing</t>
        </is>
      </c>
      <c r="B17" s="4">
        <f>COUNTIF('Skills Inventory'!B:B,A17)</f>
        <v/>
      </c>
      <c r="C17" s="5">
        <f>AVERAGEIF('Skills Inventory'!B:B,A17,'Skills Inventory'!F:F)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18" customWidth="1" min="4" max="4"/>
    <col width="14" customWidth="1" min="5" max="5"/>
  </cols>
  <sheetData>
    <row r="1">
      <c r="A1" s="1" t="inlineStr">
        <is>
          <t>Tier</t>
        </is>
      </c>
      <c r="B1" s="1" t="inlineStr">
        <is>
          <t>Timeline</t>
        </is>
      </c>
      <c r="C1" s="1" t="inlineStr">
        <is>
          <t>Skills Count</t>
        </is>
      </c>
      <c r="D1" s="1" t="inlineStr">
        <is>
          <t>Target Adoption</t>
        </is>
      </c>
      <c r="E1" s="1" t="inlineStr">
        <is>
          <t>Priority</t>
        </is>
      </c>
    </row>
    <row r="2">
      <c r="A2" s="2" t="inlineStr">
        <is>
          <t>Day 1</t>
        </is>
      </c>
      <c r="B2" s="2" t="inlineStr">
        <is>
          <t>Immediate</t>
        </is>
      </c>
      <c r="C2" s="2">
        <f>COUNTIF('Skills Inventory'!C:C,"Day 1")</f>
        <v/>
      </c>
      <c r="D2" s="3" t="n">
        <v>0.9</v>
      </c>
      <c r="E2" s="2" t="inlineStr">
        <is>
          <t>Critical</t>
        </is>
      </c>
    </row>
    <row r="3">
      <c r="A3" s="4" t="inlineStr">
        <is>
          <t>Week 1</t>
        </is>
      </c>
      <c r="B3" s="4" t="inlineStr">
        <is>
          <t>First week</t>
        </is>
      </c>
      <c r="C3" s="4">
        <f>COUNTIF('Skills Inventory'!C:C,"Week 1")</f>
        <v/>
      </c>
      <c r="D3" s="5" t="n">
        <v>0.75</v>
      </c>
      <c r="E3" s="4" t="inlineStr">
        <is>
          <t>High</t>
        </is>
      </c>
    </row>
    <row r="4">
      <c r="A4" s="2" t="inlineStr">
        <is>
          <t>Week 2-3</t>
        </is>
      </c>
      <c r="B4" s="2" t="inlineStr">
        <is>
          <t>Weeks 2-3</t>
        </is>
      </c>
      <c r="C4" s="2">
        <f>COUNTIF('Skills Inventory'!C:C,"Week 2-3")</f>
        <v/>
      </c>
      <c r="D4" s="3" t="n">
        <v>0.6</v>
      </c>
      <c r="E4" s="2" t="inlineStr">
        <is>
          <t>Medium</t>
        </is>
      </c>
    </row>
    <row r="5">
      <c r="A5" s="4" t="inlineStr">
        <is>
          <t>Week 4+</t>
        </is>
      </c>
      <c r="B5" s="4" t="inlineStr">
        <is>
          <t>Month 2+</t>
        </is>
      </c>
      <c r="C5" s="4">
        <f>COUNTIF('Skills Inventory'!C:C,"Week 4+")</f>
        <v/>
      </c>
      <c r="D5" s="5" t="n">
        <v>0.4</v>
      </c>
      <c r="E5" s="4" t="inlineStr">
        <is>
          <t>Low</t>
        </is>
      </c>
    </row>
    <row r="6">
      <c r="A6" s="11" t="inlineStr">
        <is>
          <t>TOTAL</t>
        </is>
      </c>
      <c r="B6" s="12" t="n"/>
      <c r="C6" s="11">
        <f>SUM(C2:C5)</f>
        <v/>
      </c>
      <c r="D6" s="12" t="n"/>
      <c r="E6" s="12" t="n"/>
    </row>
  </sheetData>
  <conditionalFormatting sqref="E2:E100">
    <cfRule type="cellIs" priority="1" operator="equal" dxfId="2">
      <formula>"Critical"</formula>
    </cfRule>
    <cfRule type="cellIs" priority="2" operator="equal" dxfId="3">
      <formula>"High"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2026-03-28T13:22:33Z</dcterms:created>
  <dcterms:modified xmlns:dcterms="http://purl.org/dc/terms/" xmlns:xsi="http://www.w3.org/2001/XMLSchema-instance" xsi:type="dcterms:W3CDTF">2026-03-28T13:22:33Z</dcterms:modified>
</cp:coreProperties>
</file>